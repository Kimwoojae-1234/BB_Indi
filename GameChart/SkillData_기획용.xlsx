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Data" sheetId="1" r:id="rId4"/>
    <sheet state="visible" name="#level_value" sheetId="2" r:id="rId5"/>
    <sheet state="visible" name="#조건테이블" sheetId="3" r:id="rId6"/>
    <sheet state="visible" name="스킬구상" sheetId="4" r:id="rId7"/>
    <sheet state="visible" name="Enum" sheetId="5" r:id="rId8"/>
  </sheets>
  <definedNames/>
  <calcPr/>
  <extLst>
    <ext uri="GoogleSheetsCustomDataVersion2">
      <go:sheetsCustomData xmlns:go="http://customooxmlschemas.google.com/" r:id="rId9" roundtripDataChecksum="GZquyeHj+W4Spt2tIoPROzvt09Bt6Vz2bP7JaHMFz4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">
      <text>
        <t xml:space="preserve"># 
======</t>
      </text>
    </comment>
  </commentList>
</comments>
</file>

<file path=xl/sharedStrings.xml><?xml version="1.0" encoding="utf-8"?>
<sst xmlns="http://schemas.openxmlformats.org/spreadsheetml/2006/main" count="3057" uniqueCount="612">
  <si>
    <t>skill_idx</t>
  </si>
  <si>
    <t>#2번째 스킬 참조</t>
  </si>
  <si>
    <t>#3번째 스킬 참조</t>
  </si>
  <si>
    <t>name_id</t>
  </si>
  <si>
    <t>#name_id</t>
  </si>
  <si>
    <t>desc_id</t>
  </si>
  <si>
    <t>#desc_id</t>
  </si>
  <si>
    <t>#디테일</t>
  </si>
  <si>
    <t>skill_type</t>
  </si>
  <si>
    <t>Key1</t>
  </si>
  <si>
    <t>Con1</t>
  </si>
  <si>
    <t>Per1</t>
  </si>
  <si>
    <t>Val1</t>
  </si>
  <si>
    <t>Key2</t>
  </si>
  <si>
    <t>Con2</t>
  </si>
  <si>
    <t>Per2</t>
  </si>
  <si>
    <t>Val2</t>
  </si>
  <si>
    <t>Key3</t>
  </si>
  <si>
    <t>Con3</t>
  </si>
  <si>
    <t>Per3</t>
  </si>
  <si>
    <t>Val3</t>
  </si>
  <si>
    <t>집중력1</t>
  </si>
  <si>
    <t>3구부터 누적되는 투구 수 마다 선구 +{0}</t>
  </si>
  <si>
    <t>매구 누적이므로 25value</t>
  </si>
  <si>
    <t>Hitting</t>
  </si>
  <si>
    <t>집중력2</t>
  </si>
  <si>
    <t>2구부터 누적되는 투구 수 마다 선구 +{0}</t>
  </si>
  <si>
    <t>집중력3</t>
  </si>
  <si>
    <t>2구부터 누적되는 투구 수 마다 선구 +{0}, 타구속도 +{1}</t>
  </si>
  <si>
    <t>우완킬러1</t>
  </si>
  <si>
    <t>우투수 시 {0}%확률로 컨택 +{0}</t>
  </si>
  <si>
    <t>우투수는 65%이므로 40 value</t>
  </si>
  <si>
    <t>우완킬러2</t>
  </si>
  <si>
    <t>우완킬러3</t>
  </si>
  <si>
    <t>우투수 시 100%확률로 컨택 +{0},  선구+{0}</t>
  </si>
  <si>
    <t>좌완킬러1</t>
  </si>
  <si>
    <t>좌투수 시 {0}%확률로 파워 +{0}</t>
  </si>
  <si>
    <t>좌투수는 35%이므로 60 value</t>
  </si>
  <si>
    <t>좌완킬러2</t>
  </si>
  <si>
    <t>좌완킬러3</t>
  </si>
  <si>
    <t>좌투수 시 100%확률로 파워 +{0},  선구+{0}</t>
  </si>
  <si>
    <t>끝내기안타</t>
  </si>
  <si>
    <t>9회 타격 시 컨택 +{0}</t>
  </si>
  <si>
    <t>9회는 25% 이므로 80 value</t>
  </si>
  <si>
    <t>끝내기홈런</t>
  </si>
  <si>
    <t>9회 타격 시 파워 +{0}</t>
  </si>
  <si>
    <t>초구1</t>
  </si>
  <si>
    <t>초구에 {0}%확률로 파워 +{0}</t>
  </si>
  <si>
    <t>초구는 100%이므로 30 value</t>
  </si>
  <si>
    <t>초구2</t>
  </si>
  <si>
    <t>초구3</t>
  </si>
  <si>
    <t>초구에 100%확률로 파워 +{0}, 컨택+{0}</t>
  </si>
  <si>
    <t>변화구1</t>
  </si>
  <si>
    <t>변화구 타격시 타구속도 +{0}%</t>
  </si>
  <si>
    <t>변화구는 40 value</t>
  </si>
  <si>
    <t>변화구2</t>
  </si>
  <si>
    <t>변화구 타격시 타구속도 +{0}%, 체크스윙 +{1}%</t>
  </si>
  <si>
    <t>직구1</t>
  </si>
  <si>
    <t>직구 타격시 타구속도 +{0}%</t>
  </si>
  <si>
    <t>직구는 40 value</t>
  </si>
  <si>
    <t>직구2</t>
  </si>
  <si>
    <t>직구 타격시 타구속도 +{0}%, 체크스윙 +{1}%</t>
  </si>
  <si>
    <t>라인드라이브</t>
  </si>
  <si>
    <t>라인드라이브 타격시 타구속도 +{0}%</t>
  </si>
  <si>
    <t>플라이볼</t>
  </si>
  <si>
    <t>플라이볼 타격시 타구속도 +{0}%</t>
  </si>
  <si>
    <t>히트앤드런</t>
  </si>
  <si>
    <t>주자 도루 할 때 타격시 타구속도 +{0}%</t>
  </si>
  <si>
    <t>홈경기</t>
  </si>
  <si>
    <t>홈경기 시 컨택+{0}</t>
  </si>
  <si>
    <t>원정경기</t>
  </si>
  <si>
    <t>원정경기 시 파워+{0}</t>
  </si>
  <si>
    <t>낮경기</t>
  </si>
  <si>
    <t>낮경기 시 선구+{0} 파워+{0}</t>
  </si>
  <si>
    <t>밤경기</t>
  </si>
  <si>
    <t>밤경기 시 선구+{0} 컨택+{0}</t>
  </si>
  <si>
    <t>서브마린킬러</t>
  </si>
  <si>
    <t>언더핸드 투수 시 컨택+{0}</t>
  </si>
  <si>
    <t>강심장1</t>
  </si>
  <si>
    <t>투아웃에서 {0}%확률로 컨택 +{0}</t>
  </si>
  <si>
    <t>강심장2</t>
  </si>
  <si>
    <t>강심장3</t>
  </si>
  <si>
    <t>투아웃에서 100%확률로 컨택 +{0},  선구+{0}</t>
  </si>
  <si>
    <t>투스트라이크1</t>
  </si>
  <si>
    <t>투스트라이크에서 {0}%확률로 선구 +{0}</t>
  </si>
  <si>
    <t>투스트라이크2</t>
  </si>
  <si>
    <t>투스트라이크3</t>
  </si>
  <si>
    <t>투스트라이크에서 100%확률로 선구 +{0} , 체크스윙 +{0}% 증가</t>
  </si>
  <si>
    <t>찬스1</t>
  </si>
  <si>
    <t>주자 스코어링 포지션에서 {0}%확률로 파워 +{0}</t>
  </si>
  <si>
    <t>찬스2</t>
  </si>
  <si>
    <t>찬스3</t>
  </si>
  <si>
    <t>주자 스코어링 포지션에서 100%확률로 파워 +{0} 컨택 +{0}</t>
  </si>
  <si>
    <t>언더독1</t>
  </si>
  <si>
    <t>지고 있는 경우 {0}%확률로 컨택 +{0}</t>
  </si>
  <si>
    <t>언더독2</t>
  </si>
  <si>
    <t>크게 지고 있는 경우 100%확률로 컨택 +{0}</t>
  </si>
  <si>
    <t>이닝 첫타자1</t>
  </si>
  <si>
    <t>이닝의 선두타자 시 {0}%확률로 선구 +{0}</t>
  </si>
  <si>
    <t>이닝 첫타자2</t>
  </si>
  <si>
    <t>이닝 첫타자3</t>
  </si>
  <si>
    <t>이닝의 선두타자 시 100%확률로 선구 +{0}, 파워 +{0}</t>
  </si>
  <si>
    <t>만루</t>
  </si>
  <si>
    <t>주자 만루시 타구속도 +{0}% 증가</t>
  </si>
  <si>
    <t>영양가1</t>
  </si>
  <si>
    <t>이기고 있는 경우 {0}%확률로 파워 +{0}</t>
  </si>
  <si>
    <t>영양가2</t>
  </si>
  <si>
    <t>크게 이기고 있는 100%확률로 경우 파워 +{0}</t>
  </si>
  <si>
    <t>주자없음1</t>
  </si>
  <si>
    <t>주자 없는 경우 {0}%확률로 선구 +{0}</t>
  </si>
  <si>
    <t>주자없음2</t>
  </si>
  <si>
    <t>주자없음3</t>
  </si>
  <si>
    <t>주자 없는 경우 100%확률로 선구 +{0}, 타구속도 +{0}%</t>
  </si>
  <si>
    <t>분노맨G1</t>
  </si>
  <si>
    <t>아웃시 게이지가 쌓이고 차지 완료 후 발동시 파워+{0}, 컨택 +{0}, 선구+{0}</t>
  </si>
  <si>
    <t>Special</t>
  </si>
  <si>
    <t>분노맨G2</t>
  </si>
  <si>
    <t>분노맨G3</t>
  </si>
  <si>
    <t>분위기맨G1</t>
  </si>
  <si>
    <t>안타시 게이지가 쌓이고 차지 완료 후 발동시 파워+{0}, 컨택 +{0}, 선구+{0}</t>
  </si>
  <si>
    <t>분위기맨G2</t>
  </si>
  <si>
    <t>분위기맨G3</t>
  </si>
  <si>
    <t>불안감G1</t>
  </si>
  <si>
    <t>지고있는경우 게이지가 쌓이고 차지 완료 후 발동시 파워+{0}, 컨택 +{0}, 선구+{0}</t>
  </si>
  <si>
    <t>불안감G2</t>
  </si>
  <si>
    <t>불안감G3</t>
  </si>
  <si>
    <t>안정감G1</t>
  </si>
  <si>
    <t>이기고 있는 경우 게이지가 쌓이고 차지 완료 후 발동시 파워+{0}, 컨택 +{0}, 선구+{0}</t>
  </si>
  <si>
    <t>안정감G2</t>
  </si>
  <si>
    <t>안정감G3</t>
  </si>
  <si>
    <t>풀카운트G</t>
  </si>
  <si>
    <t>풀카운트 시 게이지가 쌓이고 차지 완료 후 발동시 파워+{0}, 컨택 +{0}, 선구+{0}</t>
  </si>
  <si>
    <t>포볼G</t>
  </si>
  <si>
    <t>포볼시 게이지가 쌓이고 차지 완료 후 발동시 파워+{0}, 컨택 +{0}, 선구+{0}</t>
  </si>
  <si>
    <t>홈런G</t>
  </si>
  <si>
    <t>홈런시 게이지가 쌓이고 차지 완료 후 발동시 파워+{0}, 컨택 +{0}, 선구+{0}</t>
  </si>
  <si>
    <t>찬스G1</t>
  </si>
  <si>
    <t>찬스시 게이지가 쌓이고 차지 완료 후 발동시 파워+{0}, 컨택 +{0}, 선구+{0}</t>
  </si>
  <si>
    <t>찬스G2</t>
  </si>
  <si>
    <t>찬스G3</t>
  </si>
  <si>
    <t>노주자G1</t>
  </si>
  <si>
    <t>주자없을시 게이지가 쌓이고 차지 완료 후 발동시 파워+{0}, 컨택 +{0}, 선구+{0}</t>
  </si>
  <si>
    <t>노주자G2</t>
  </si>
  <si>
    <t>노주자G3</t>
  </si>
  <si>
    <t>선구성공G</t>
  </si>
  <si>
    <t>선구 성공시 게이지가 쌓이고 차지 완료 후 발동시 파워+{0}, 컨택 +{0}, 선구+{0}</t>
  </si>
  <si>
    <t>스트라이크G</t>
  </si>
  <si>
    <t>스트라이크 시 게이지가 쌓이고 차지 완료 후 발동시 파워+{0}, 컨택 +{0}, 선구+{0}</t>
  </si>
  <si>
    <t>포수수비1</t>
  </si>
  <si>
    <t>포수 포지션 시 수비 +{0}</t>
  </si>
  <si>
    <t>Pysical</t>
  </si>
  <si>
    <t>포수수비2</t>
  </si>
  <si>
    <t>내야수비1</t>
  </si>
  <si>
    <t>내야 포지션 시 수비 +{0}</t>
  </si>
  <si>
    <t>내야수비2</t>
  </si>
  <si>
    <t>타고난내야수1</t>
  </si>
  <si>
    <t>내야 포지션 시 수비 +{0}, 송구 +{0}</t>
  </si>
  <si>
    <t>타고난내야수2</t>
  </si>
  <si>
    <t>외야수비1</t>
  </si>
  <si>
    <t>외야 포지션 시 수비 +{0}</t>
  </si>
  <si>
    <t>외야수비2</t>
  </si>
  <si>
    <t>타고난외야수1</t>
  </si>
  <si>
    <t>외야 포지션 시 수비 +{0}, 송구 +{0}</t>
  </si>
  <si>
    <t>타고난외야수2</t>
  </si>
  <si>
    <t>포수블러킹</t>
  </si>
  <si>
    <t>주자의 [돌진] 스킬을 {0}% 확률로 막는다</t>
  </si>
  <si>
    <t>포수도루1</t>
  </si>
  <si>
    <t>주자의 도루를 저지할 확률이 {0}% 증가</t>
  </si>
  <si>
    <t>포수도루2</t>
  </si>
  <si>
    <t>내야송구스킬</t>
  </si>
  <si>
    <t>내야에서 {0}% 확률로 특수 동작 송구가 발동</t>
  </si>
  <si>
    <t>내야수비스킬</t>
  </si>
  <si>
    <t>내야에서 {0}% 확률로 특수 동작 수비가 발동</t>
  </si>
  <si>
    <t>어시스트</t>
  </si>
  <si>
    <t>외야에서 {0}% 확률로 어시스트 발동</t>
  </si>
  <si>
    <t>외야수비스킬</t>
  </si>
  <si>
    <t>외야에서 {0}% 확률로 특수 동작 수비가 발동</t>
  </si>
  <si>
    <t>홈런캐치</t>
  </si>
  <si>
    <t>외야에서 {0}% 확률로 홈런캐치 스킬이 발동</t>
  </si>
  <si>
    <t>포수송구1</t>
  </si>
  <si>
    <t>포수 포지션 시 송구 +{0}</t>
  </si>
  <si>
    <t>포수송구2</t>
  </si>
  <si>
    <t>내야송구1</t>
  </si>
  <si>
    <t>내야 포지션 시 송구 +{0}</t>
  </si>
  <si>
    <t>내야송구2</t>
  </si>
  <si>
    <t>외야송구1</t>
  </si>
  <si>
    <t>외야 포지션 시 송구 +{0}</t>
  </si>
  <si>
    <t>외야송구2</t>
  </si>
  <si>
    <t>철저한수비</t>
  </si>
  <si>
    <t>지고 있는 경우 에러를 하지 않는다.</t>
  </si>
  <si>
    <t>안정된수비</t>
  </si>
  <si>
    <t>이기고 있는 경우 에러를 하지 않는다.</t>
  </si>
  <si>
    <t>도루1</t>
  </si>
  <si>
    <t>도루 성공률이 {0}%증가</t>
  </si>
  <si>
    <t>도루2</t>
  </si>
  <si>
    <t>병살저지</t>
  </si>
  <si>
    <t>2루 베이스에서 병살 시도를 {0}%확률로 저지한다</t>
  </si>
  <si>
    <t>내야안타</t>
  </si>
  <si>
    <t>느린 땅볼이 {0}%확률로 내야 안타</t>
  </si>
  <si>
    <t>홈돌진</t>
  </si>
  <si>
    <t>홈돌진이 {0}% 확률로 발생한다.</t>
  </si>
  <si>
    <t>주루플레이1</t>
  </si>
  <si>
    <t>{0}%확률로 한 베이스 더 진루한다</t>
  </si>
  <si>
    <t>주루플레이2</t>
  </si>
  <si>
    <t>주력1</t>
  </si>
  <si>
    <t>주력 +{0}</t>
  </si>
  <si>
    <t>주력2</t>
  </si>
  <si>
    <t>슬러거W</t>
  </si>
  <si>
    <t>모든 슬러거 파워업</t>
  </si>
  <si>
    <t>Wide</t>
  </si>
  <si>
    <t>컨택터W</t>
  </si>
  <si>
    <t>모든 컨택터 컨택업</t>
  </si>
  <si>
    <t>홀쭉이포지션W</t>
  </si>
  <si>
    <t>모든 선수 수비업</t>
  </si>
  <si>
    <t>주루포지션W</t>
  </si>
  <si>
    <t>모든 선수 주루업</t>
  </si>
  <si>
    <t>찬스W</t>
  </si>
  <si>
    <t>모든 선수 찬스시 선구업</t>
  </si>
  <si>
    <t>경기종반W</t>
  </si>
  <si>
    <t>모든 선수 7,8,9회 컨택업</t>
  </si>
  <si>
    <t>배팅코치W</t>
  </si>
  <si>
    <t>모든 선수 홈경기 타구속도</t>
  </si>
  <si>
    <t>매니저W</t>
  </si>
  <si>
    <t>모든 선수 원정경기 선구업</t>
  </si>
  <si>
    <t>idx</t>
  </si>
  <si>
    <t>lv</t>
  </si>
  <si>
    <t>#Key</t>
  </si>
  <si>
    <t>#Condition</t>
  </si>
  <si>
    <t>Per</t>
  </si>
  <si>
    <t>Val</t>
  </si>
  <si>
    <t>Vision</t>
  </si>
  <si>
    <t>Cumulative</t>
  </si>
  <si>
    <t>HittingSpeed</t>
  </si>
  <si>
    <t>AfterHit</t>
  </si>
  <si>
    <t>Contact</t>
  </si>
  <si>
    <t>RightPitcher</t>
  </si>
  <si>
    <t>MainActivated</t>
  </si>
  <si>
    <t>Power</t>
  </si>
  <si>
    <t>LeftPitcher</t>
  </si>
  <si>
    <t>Walkoff</t>
  </si>
  <si>
    <t>FirstPitch</t>
  </si>
  <si>
    <t>BreakballHit</t>
  </si>
  <si>
    <t>CheckSwing</t>
  </si>
  <si>
    <t>NoCondition</t>
  </si>
  <si>
    <t>FastballHit</t>
  </si>
  <si>
    <t>LinedriveHit</t>
  </si>
  <si>
    <t>FlyHit</t>
  </si>
  <si>
    <t>RunAndHit</t>
  </si>
  <si>
    <t>HomeMatch</t>
  </si>
  <si>
    <t>AwayMatch</t>
  </si>
  <si>
    <t>DayMatch</t>
  </si>
  <si>
    <t>NightMatch</t>
  </si>
  <si>
    <t>UnderPitcher</t>
  </si>
  <si>
    <t>TwoOut</t>
  </si>
  <si>
    <t>TwoStrike</t>
  </si>
  <si>
    <t>Chance</t>
  </si>
  <si>
    <t>Losing1</t>
  </si>
  <si>
    <t>Losing2</t>
  </si>
  <si>
    <t>InningFirst</t>
  </si>
  <si>
    <t>FullBase</t>
  </si>
  <si>
    <t>Winning1</t>
  </si>
  <si>
    <t>Winning2</t>
  </si>
  <si>
    <t>NoRunner</t>
  </si>
  <si>
    <t>AllHitting</t>
  </si>
  <si>
    <t>ResultOut</t>
  </si>
  <si>
    <t>ResultHit</t>
  </si>
  <si>
    <t>FullCount</t>
  </si>
  <si>
    <t>ResultBB</t>
  </si>
  <si>
    <t>ResultHR</t>
  </si>
  <si>
    <t>ResultCheck</t>
  </si>
  <si>
    <t>ResultStrike</t>
  </si>
  <si>
    <t>Fielding</t>
  </si>
  <si>
    <t>DefenseCatcher</t>
  </si>
  <si>
    <t>DefenseInfield</t>
  </si>
  <si>
    <t>AllDefense</t>
  </si>
  <si>
    <t>DefenseOutfield</t>
  </si>
  <si>
    <t>FieldSkill</t>
  </si>
  <si>
    <t>Throwing</t>
  </si>
  <si>
    <t>DefenseAll</t>
  </si>
  <si>
    <t>RunningSkill</t>
  </si>
  <si>
    <t>OnRunning</t>
  </si>
  <si>
    <t>Speed</t>
  </si>
  <si>
    <t>WideBatter</t>
  </si>
  <si>
    <t>WideDefense</t>
  </si>
  <si>
    <t>WideRunning</t>
  </si>
  <si>
    <t>Inning789</t>
  </si>
  <si>
    <t>#KOBSkillCondition 스킬조건</t>
  </si>
  <si>
    <t>#KOBSkillKey 스킬키</t>
  </si>
  <si>
    <t>#KOBSkillType</t>
  </si>
  <si>
    <t>#KOBRarity</t>
  </si>
  <si>
    <t>COMMON</t>
  </si>
  <si>
    <t>RARE</t>
  </si>
  <si>
    <t>EPIC</t>
  </si>
  <si>
    <t>LEGENDARY</t>
  </si>
  <si>
    <t>BLACK</t>
  </si>
  <si>
    <t>#체크스윙 별도</t>
  </si>
  <si>
    <t>SkillGear</t>
  </si>
  <si>
    <t>장비장착시 스킬</t>
  </si>
  <si>
    <t>InfieldDiving</t>
  </si>
  <si>
    <t>#내야 다이빙 별도</t>
  </si>
  <si>
    <t>OutFieldDiving</t>
  </si>
  <si>
    <t>#외야 다이빙 별도</t>
  </si>
  <si>
    <t>TimingPlus</t>
  </si>
  <si>
    <t>#타이밍 플러스 별도</t>
  </si>
  <si>
    <t>DefenseOutField</t>
  </si>
  <si>
    <t>Inning123</t>
  </si>
  <si>
    <t>Inning456</t>
  </si>
  <si>
    <t>이름</t>
  </si>
  <si>
    <t>특징</t>
  </si>
  <si>
    <t>조건</t>
  </si>
  <si>
    <t>사용 방법</t>
  </si>
  <si>
    <t>주 능력</t>
  </si>
  <si>
    <t>추가 능력 (주능력의 반)</t>
  </si>
  <si>
    <t>같이 넣으면 안되는 스킬</t>
  </si>
  <si>
    <t>추후 사긴선수시 이 제한 풀을것</t>
  </si>
  <si>
    <t>능력</t>
  </si>
  <si>
    <t>인게임에 적용되는 법</t>
  </si>
  <si>
    <t>Rare</t>
  </si>
  <si>
    <t>Epic</t>
  </si>
  <si>
    <t>Legend</t>
  </si>
  <si>
    <t>hitting skill</t>
  </si>
  <si>
    <t>3구부터</t>
  </si>
  <si>
    <t>선구</t>
  </si>
  <si>
    <t>초구</t>
  </si>
  <si>
    <t>선구 관련</t>
  </si>
  <si>
    <t>선구+</t>
  </si>
  <si>
    <t>공의 궤적 plus</t>
  </si>
  <si>
    <t>체크스윙 plus</t>
  </si>
  <si>
    <t>타이밍 plus</t>
  </si>
  <si>
    <t>2구부터</t>
  </si>
  <si>
    <t>위와같음</t>
  </si>
  <si>
    <t>컨택</t>
  </si>
  <si>
    <t>컨택관련</t>
  </si>
  <si>
    <t>컨택+</t>
  </si>
  <si>
    <t>안타억제 Lv1</t>
  </si>
  <si>
    <t>안타억제 Lv2</t>
  </si>
  <si>
    <t>안타억제 Lv3</t>
  </si>
  <si>
    <t>타구속도</t>
  </si>
  <si>
    <t>파워</t>
  </si>
  <si>
    <t>파워관련</t>
  </si>
  <si>
    <t>파워+</t>
  </si>
  <si>
    <t>홈런억제 Lv1</t>
  </si>
  <si>
    <t>홈런억제 Lv2</t>
  </si>
  <si>
    <t>홈런억제 Lv3</t>
  </si>
  <si>
    <t>확률 30%부터</t>
  </si>
  <si>
    <t>오른손투수</t>
  </si>
  <si>
    <t>좌완킬러</t>
  </si>
  <si>
    <t>타구속도UP</t>
  </si>
  <si>
    <t>확률 50%부터</t>
  </si>
  <si>
    <t>확률 100%부터</t>
  </si>
  <si>
    <t>왼손투수</t>
  </si>
  <si>
    <t>우완킬러</t>
  </si>
  <si>
    <t>끝내기 안타</t>
  </si>
  <si>
    <t>9회</t>
  </si>
  <si>
    <t>끝내기 홈런</t>
  </si>
  <si>
    <t>집중력</t>
  </si>
  <si>
    <t>변화구 타격시</t>
  </si>
  <si>
    <t>직구</t>
  </si>
  <si>
    <t>체크스윙</t>
  </si>
  <si>
    <t>직구 타격시</t>
  </si>
  <si>
    <t>변화구</t>
  </si>
  <si>
    <t>서브마린 킬러</t>
  </si>
  <si>
    <t>투아웃에서</t>
  </si>
  <si>
    <t>투스트라이크시</t>
  </si>
  <si>
    <t>주자없음</t>
  </si>
  <si>
    <t>능력치</t>
  </si>
  <si>
    <t>사용스</t>
  </si>
  <si>
    <t>언더독 Type1</t>
  </si>
  <si>
    <t>지고 있을때</t>
  </si>
  <si>
    <t>영양가</t>
  </si>
  <si>
    <t>주파워</t>
  </si>
  <si>
    <t>언더독 Type2</t>
  </si>
  <si>
    <t>크게 지고 있을 때</t>
  </si>
  <si>
    <t>주컨택</t>
  </si>
  <si>
    <t>주선구</t>
  </si>
  <si>
    <t>주타구속도</t>
  </si>
  <si>
    <t>보조파워</t>
  </si>
  <si>
    <t>보조컨택</t>
  </si>
  <si>
    <t>영양가 Type1</t>
  </si>
  <si>
    <t>이기고 있을때</t>
  </si>
  <si>
    <t>언더독</t>
  </si>
  <si>
    <t>보조선구</t>
  </si>
  <si>
    <t>영양가 Type2</t>
  </si>
  <si>
    <t>아주 크게 이기고 있을때</t>
  </si>
  <si>
    <t>보조타구속도</t>
  </si>
  <si>
    <t>찬스</t>
  </si>
  <si>
    <t>special skill</t>
  </si>
  <si>
    <t>분노맨 : 아웃시 게이지</t>
  </si>
  <si>
    <t>게이지다 쌓이면 능력은 비슷</t>
  </si>
  <si>
    <t>분노맨2</t>
  </si>
  <si>
    <t>게이지 증가</t>
  </si>
  <si>
    <t>Power, Vision, Contact 레전드 스킬 레벨로 주어짐</t>
  </si>
  <si>
    <t>분노맨3</t>
  </si>
  <si>
    <t>분위기맨 : 안타치면 게이지</t>
  </si>
  <si>
    <t>분위기맨2</t>
  </si>
  <si>
    <t>불안감 :  지고 있는 경우 게이지</t>
  </si>
  <si>
    <t>불안감2</t>
  </si>
  <si>
    <t>불안감3</t>
  </si>
  <si>
    <t>안정감 :  이기고 있는 경우 게이지</t>
  </si>
  <si>
    <t>안정감2</t>
  </si>
  <si>
    <t>안정감3</t>
  </si>
  <si>
    <t>풀카운트 경험 시 게이지</t>
  </si>
  <si>
    <t>큰게이지</t>
  </si>
  <si>
    <t>포볼 시 게이지</t>
  </si>
  <si>
    <t>어마어마한 게이지</t>
  </si>
  <si>
    <t>홈런 시 게이지</t>
  </si>
  <si>
    <t>찬스시 게이지</t>
  </si>
  <si>
    <t>주자 없는 경우 게이지</t>
  </si>
  <si>
    <t>주자없는2</t>
  </si>
  <si>
    <t>주자없는3</t>
  </si>
  <si>
    <t>선구 성공시 (볼을 골라내면 게이지)</t>
  </si>
  <si>
    <t>스트라이크시 게이지</t>
  </si>
  <si>
    <t>Lv1</t>
  </si>
  <si>
    <t>Lv2</t>
  </si>
  <si>
    <t>Lv3</t>
  </si>
  <si>
    <t>Lv4</t>
  </si>
  <si>
    <t>Lv5</t>
  </si>
  <si>
    <t>physical 수비</t>
  </si>
  <si>
    <t>포수 수비</t>
  </si>
  <si>
    <t>수비능력치</t>
  </si>
  <si>
    <t>커먼</t>
  </si>
  <si>
    <t>포수 수비2</t>
  </si>
  <si>
    <t>레어</t>
  </si>
  <si>
    <t>내야수비</t>
  </si>
  <si>
    <t>타고난 내야수</t>
  </si>
  <si>
    <t>수비 + 송구</t>
  </si>
  <si>
    <t>에픽</t>
  </si>
  <si>
    <t>타고난 내야수2</t>
  </si>
  <si>
    <t>레전드</t>
  </si>
  <si>
    <t>외야 수비</t>
  </si>
  <si>
    <t>외야 수비2</t>
  </si>
  <si>
    <t>타고난 외야수</t>
  </si>
  <si>
    <t>타고난 외야수2</t>
  </si>
  <si>
    <t>포수 블러킹</t>
  </si>
  <si>
    <t>확률</t>
  </si>
  <si>
    <t>포수 도루</t>
  </si>
  <si>
    <t>포수 도루2</t>
  </si>
  <si>
    <t>내야 송구 스킬</t>
  </si>
  <si>
    <t>퀵스로,대시스로우,찰떡궁합,점프스로우 스핀스로우</t>
  </si>
  <si>
    <t>레전드스킬</t>
  </si>
  <si>
    <t>내야 수비 스킬</t>
  </si>
  <si>
    <t>점프캐치,다이빙 캐치 발생확률</t>
  </si>
  <si>
    <t>에픽스킬</t>
  </si>
  <si>
    <t>어시스트 발생확률</t>
  </si>
  <si>
    <t>외야 수비 스킬</t>
  </si>
  <si>
    <t>다이빙 캐치, 점프스킬 발생확률</t>
  </si>
  <si>
    <t>홈런캐치 발생확률</t>
  </si>
  <si>
    <t>포수 송구</t>
  </si>
  <si>
    <t>송구능력치</t>
  </si>
  <si>
    <t>포수 송구2</t>
  </si>
  <si>
    <t>내야 송구</t>
  </si>
  <si>
    <t>내야 송구2</t>
  </si>
  <si>
    <t>외야 송구</t>
  </si>
  <si>
    <t>외야 송구2</t>
  </si>
  <si>
    <t>철저한 수비</t>
  </si>
  <si>
    <t>1레벨이 MAX</t>
  </si>
  <si>
    <t>지고 있음 No Error</t>
  </si>
  <si>
    <t>안정된 수비</t>
  </si>
  <si>
    <t>이기고 있음 No Error</t>
  </si>
  <si>
    <t>physical 주루</t>
  </si>
  <si>
    <t>도루</t>
  </si>
  <si>
    <t>주력능력치</t>
  </si>
  <si>
    <t>광역은 5스킬창에서 hitting skill 피지컬 스킬 등과 자유롭게 선택 가능하다</t>
  </si>
  <si>
    <t>광역은 select 플레이어만 장착 가능하다</t>
  </si>
  <si>
    <t>광역</t>
  </si>
  <si>
    <t>슬러거</t>
  </si>
  <si>
    <t>슬러거 타자들</t>
  </si>
  <si>
    <t>파워업</t>
  </si>
  <si>
    <t>광역스킬은 돈주고 열면됨 레벨업도 필요없음 존나 쌈</t>
  </si>
  <si>
    <t>컨택터</t>
  </si>
  <si>
    <t>컨택터 타자들</t>
  </si>
  <si>
    <t>컨택업</t>
  </si>
  <si>
    <t>근데 왜? 당연히 레전드급 선수만 가지고 있으니 ㅋㅋㅋㅋ</t>
  </si>
  <si>
    <t>홀쭉이 포지션</t>
  </si>
  <si>
    <t>모든 선수</t>
  </si>
  <si>
    <t>수비업</t>
  </si>
  <si>
    <t>주루 포지션</t>
  </si>
  <si>
    <t>주루업</t>
  </si>
  <si>
    <t>찬스광역</t>
  </si>
  <si>
    <t>찬스시</t>
  </si>
  <si>
    <t>선구업</t>
  </si>
  <si>
    <t>경기종반 광역</t>
  </si>
  <si>
    <t>모든선수</t>
  </si>
  <si>
    <t>7,8,9회</t>
  </si>
  <si>
    <t>배팅 코치</t>
  </si>
  <si>
    <t>매니저</t>
  </si>
  <si>
    <t>#KOBHand</t>
  </si>
  <si>
    <t>#PlayingType</t>
  </si>
  <si>
    <t>#CharacterType</t>
  </si>
  <si>
    <t>#KOBPosition</t>
  </si>
  <si>
    <t>#KOBBody</t>
  </si>
  <si>
    <t>#KOBSlotType</t>
  </si>
  <si>
    <t>#SKILL</t>
  </si>
  <si>
    <t>관여 능력</t>
  </si>
  <si>
    <t>#Gear</t>
  </si>
  <si>
    <t>Left</t>
  </si>
  <si>
    <t>None</t>
  </si>
  <si>
    <t>Ballers</t>
  </si>
  <si>
    <t>Pitcher</t>
  </si>
  <si>
    <t>Normal</t>
  </si>
  <si>
    <t>글러브1</t>
  </si>
  <si>
    <t>수비</t>
  </si>
  <si>
    <t>Right</t>
  </si>
  <si>
    <t>WellRoundedHitter</t>
  </si>
  <si>
    <t>Catcher</t>
  </si>
  <si>
    <t>Fat</t>
  </si>
  <si>
    <t>HittingSkill</t>
  </si>
  <si>
    <t>글러브2</t>
  </si>
  <si>
    <t>Switch</t>
  </si>
  <si>
    <t>PowerSlugger</t>
  </si>
  <si>
    <t>MyHMan</t>
  </si>
  <si>
    <t>First</t>
  </si>
  <si>
    <t>Muscle</t>
  </si>
  <si>
    <t>PysicalSkill</t>
  </si>
  <si>
    <t>글러브3</t>
  </si>
  <si>
    <t>ProductiveHitter</t>
  </si>
  <si>
    <t>MyHPitcher</t>
  </si>
  <si>
    <t>Second</t>
  </si>
  <si>
    <t>Girl</t>
  </si>
  <si>
    <t>Gear</t>
  </si>
  <si>
    <t>내야스킬글러브1</t>
  </si>
  <si>
    <t>필드스킬</t>
  </si>
  <si>
    <t>PrecisionHitter</t>
  </si>
  <si>
    <t>HMan</t>
  </si>
  <si>
    <t>Third</t>
  </si>
  <si>
    <t>외야스킬글러브2</t>
  </si>
  <si>
    <t>BaseRunningSpecialist</t>
  </si>
  <si>
    <t>HPitcher</t>
  </si>
  <si>
    <t>Short</t>
  </si>
  <si>
    <t>포수스킬글러브3</t>
  </si>
  <si>
    <t>DefensiveAce</t>
  </si>
  <si>
    <t>스파이크1</t>
  </si>
  <si>
    <t>주루</t>
  </si>
  <si>
    <t>Two_Way</t>
  </si>
  <si>
    <t>Center</t>
  </si>
  <si>
    <t>스파이크2</t>
  </si>
  <si>
    <t>스파이크3</t>
  </si>
  <si>
    <t>DH</t>
  </si>
  <si>
    <t>스킬스파이크1</t>
  </si>
  <si>
    <t>주루스킬</t>
  </si>
  <si>
    <t>InfieldUtil</t>
  </si>
  <si>
    <t>스킬스파이크2</t>
  </si>
  <si>
    <t>InfieldCatcherUtil</t>
  </si>
  <si>
    <t>스킬스파이크3</t>
  </si>
  <si>
    <t>OutfieldUtil</t>
  </si>
  <si>
    <t>헬멧1</t>
  </si>
  <si>
    <t>OutfieldCatcherUtil</t>
  </si>
  <si>
    <t>헬멧2</t>
  </si>
  <si>
    <t>InOutField</t>
  </si>
  <si>
    <t>헬멧3</t>
  </si>
  <si>
    <t>AllRounder</t>
  </si>
  <si>
    <t>스킬 헬멧1</t>
  </si>
  <si>
    <t>선구관련스킬</t>
  </si>
  <si>
    <t>스킬 헬멧2</t>
  </si>
  <si>
    <t>스킬 헬멧3</t>
  </si>
  <si>
    <t>언더셔츠1</t>
  </si>
  <si>
    <t>송구</t>
  </si>
  <si>
    <t>언더셔츠2</t>
  </si>
  <si>
    <t>언더셔츠3</t>
  </si>
  <si>
    <t>스킬언더셔츠1</t>
  </si>
  <si>
    <t>스킬언더셔츠2</t>
  </si>
  <si>
    <t>선구+파워</t>
  </si>
  <si>
    <t>스킬언더셔츠3</t>
  </si>
  <si>
    <t>선구+컨택</t>
  </si>
  <si>
    <t>글라스1</t>
  </si>
  <si>
    <t>글라스2</t>
  </si>
  <si>
    <t>글라스3</t>
  </si>
  <si>
    <t>스킬글라스1</t>
  </si>
  <si>
    <t>컨택관련 스킬</t>
  </si>
  <si>
    <t>스킬글라스2</t>
  </si>
  <si>
    <t>스킬글라스3</t>
  </si>
  <si>
    <t>배팅글러브1</t>
  </si>
  <si>
    <t>배팅글러브2</t>
  </si>
  <si>
    <t>배팅글러브3</t>
  </si>
  <si>
    <t>스킬배팅글러브1</t>
  </si>
  <si>
    <t>타구속도관련스킬</t>
  </si>
  <si>
    <t>스킬배팅글러브2</t>
  </si>
  <si>
    <t>스킬배팅글러브3</t>
  </si>
  <si>
    <t>게이지 관련</t>
  </si>
  <si>
    <t>게이지헬퍼1</t>
  </si>
  <si>
    <t>게이지헬퍼2</t>
  </si>
  <si>
    <t>파워트레이너1</t>
  </si>
  <si>
    <t>파워 +{0}, 타구속도 +{1}</t>
  </si>
  <si>
    <t>스킬트레이너1</t>
  </si>
  <si>
    <t>컨택 +{0}, 선구 +{1}</t>
  </si>
  <si>
    <t>수비트레이너1</t>
  </si>
  <si>
    <t>수비 +{0}, 송구 +{1}</t>
  </si>
  <si>
    <t>민첩성트레이너1</t>
  </si>
  <si>
    <t>파워 +{0}, 주력 +{1}</t>
  </si>
  <si>
    <t>파워트레이너2</t>
  </si>
  <si>
    <t>스킬트레이너2</t>
  </si>
  <si>
    <t>수비트레이너2</t>
  </si>
  <si>
    <t>민첩성트레이너2</t>
  </si>
  <si>
    <t>아웃시 게이지</t>
  </si>
  <si>
    <t>안타시 게이지</t>
  </si>
  <si>
    <t>지고있는경우 게이지</t>
  </si>
  <si>
    <t>이기고 있는 경우 게이지</t>
  </si>
  <si>
    <t>풀카운트 시 게이지</t>
  </si>
  <si>
    <t>포볼시 게이지</t>
  </si>
  <si>
    <t>홈런시 게이지</t>
  </si>
  <si>
    <t>주자없을시 게이지</t>
  </si>
  <si>
    <t>선구 성공시 게이지</t>
  </si>
  <si>
    <t>스트라이크 시 게이지</t>
  </si>
  <si>
    <t>수비+송구</t>
  </si>
  <si>
    <t>주력</t>
  </si>
  <si>
    <t>파워 광역</t>
  </si>
  <si>
    <t>컨택 광역</t>
  </si>
  <si>
    <t>수비 광역</t>
  </si>
  <si>
    <t>주루 광역</t>
  </si>
  <si>
    <t>찬스 광역</t>
  </si>
  <si>
    <t>타구속도 광역</t>
  </si>
  <si>
    <t>선구 관역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</si>
</sst>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  <font>
      <b/>
      <color rgb="FF0000FF"/>
      <name val="Calibri"/>
      <scheme val="minor"/>
    </font>
    <font>
      <color rgb="FF000000"/>
      <name val="Docs-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sz val="7.0"/>
      <color rgb="FF999999"/>
      <name val="Calibri"/>
      <scheme val="minor"/>
    </font>
    <font>
      <sz val="7.0"/>
      <color rgb="FF999999"/>
      <name val="Calibri"/>
    </font>
    <font>
      <sz val="7.0"/>
      <color rgb="FFB7B7B7"/>
      <name val="Calibri"/>
      <scheme val="minor"/>
    </font>
    <font>
      <sz val="8.0"/>
      <color rgb="FFB7B7B7"/>
      <name val="Calibri"/>
      <scheme val="minor"/>
    </font>
    <font>
      <sz val="9.0"/>
      <color rgb="FF000000"/>
      <name val="&quot;Google Sans Mono&quot;"/>
    </font>
    <font>
      <sz val="11.0"/>
      <color theme="1"/>
      <name val="Malgun Gothic"/>
    </font>
    <font>
      <color theme="1"/>
      <name val="Calibri"/>
    </font>
    <font>
      <b/>
      <color rgb="FF0000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1" fillId="3" fontId="1" numFmtId="0" xfId="0" applyAlignment="1" applyBorder="1" applyFill="1" applyFont="1">
      <alignment readingOrder="0"/>
    </xf>
    <xf borderId="0" fillId="4" fontId="3" numFmtId="0" xfId="0" applyFill="1" applyFont="1"/>
    <xf borderId="0" fillId="5" fontId="2" numFmtId="0" xfId="0" applyFill="1" applyFont="1"/>
    <xf borderId="0" fillId="5" fontId="1" numFmtId="0" xfId="0" applyFont="1"/>
    <xf borderId="0" fillId="5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4" fontId="1" numFmtId="0" xfId="0" applyFont="1"/>
    <xf borderId="0" fillId="5" fontId="4" numFmtId="0" xfId="0" applyAlignment="1" applyFont="1">
      <alignment horizontal="left" readingOrder="0"/>
    </xf>
    <xf borderId="0" fillId="5" fontId="5" numFmtId="0" xfId="0" applyAlignment="1" applyFont="1">
      <alignment horizontal="left" readingOrder="0"/>
    </xf>
    <xf borderId="0" fillId="6" fontId="3" numFmtId="0" xfId="0" applyAlignment="1" applyFill="1" applyFont="1">
      <alignment readingOrder="0"/>
    </xf>
    <xf borderId="0" fillId="6" fontId="1" numFmtId="0" xfId="0" applyFont="1"/>
    <xf borderId="0" fillId="5" fontId="5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1" numFmtId="0" xfId="0" applyFont="1"/>
    <xf borderId="0" fillId="8" fontId="3" numFmtId="0" xfId="0" applyAlignment="1" applyFill="1" applyFont="1">
      <alignment readingOrder="0"/>
    </xf>
    <xf borderId="0" fillId="8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9" fontId="1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0" fillId="9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3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6" fontId="8" numFmtId="0" xfId="0" applyAlignment="1" applyFont="1">
      <alignment readingOrder="0"/>
    </xf>
    <xf borderId="0" fillId="6" fontId="9" numFmtId="0" xfId="0" applyAlignment="1" applyFont="1">
      <alignment horizontal="left" readingOrder="0"/>
    </xf>
    <xf borderId="0" fillId="11" fontId="1" numFmtId="0" xfId="0" applyFill="1" applyFont="1"/>
    <xf borderId="0" fillId="11" fontId="1" numFmtId="0" xfId="0" applyAlignment="1" applyFont="1">
      <alignment readingOrder="0"/>
    </xf>
    <xf borderId="0" fillId="11" fontId="10" numFmtId="0" xfId="0" applyAlignment="1" applyFont="1">
      <alignment readingOrder="0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12" fontId="11" numFmtId="0" xfId="0" applyAlignment="1" applyFont="1">
      <alignment readingOrder="0"/>
    </xf>
    <xf borderId="0" fillId="13" fontId="1" numFmtId="0" xfId="0" applyFill="1" applyFont="1"/>
    <xf borderId="0" fillId="13" fontId="1" numFmtId="0" xfId="0" applyAlignment="1" applyFont="1">
      <alignment readingOrder="0"/>
    </xf>
    <xf borderId="0" fillId="13" fontId="10" numFmtId="0" xfId="0" applyAlignment="1" applyFont="1">
      <alignment readingOrder="0"/>
    </xf>
    <xf borderId="0" fillId="11" fontId="11" numFmtId="0" xfId="0" applyAlignment="1" applyFont="1">
      <alignment readingOrder="0"/>
    </xf>
    <xf borderId="0" fillId="12" fontId="5" numFmtId="0" xfId="0" applyAlignment="1" applyFont="1">
      <alignment horizontal="left" readingOrder="0"/>
    </xf>
    <xf borderId="0" fillId="14" fontId="1" numFmtId="0" xfId="0" applyFill="1" applyFont="1"/>
    <xf borderId="0" fillId="14" fontId="1" numFmtId="0" xfId="0" applyAlignment="1" applyFont="1">
      <alignment readingOrder="0"/>
    </xf>
    <xf borderId="0" fillId="15" fontId="1" numFmtId="0" xfId="0" applyFill="1" applyFont="1"/>
    <xf borderId="0" fillId="15" fontId="1" numFmtId="0" xfId="0" applyAlignment="1" applyFont="1">
      <alignment readingOrder="0"/>
    </xf>
    <xf borderId="0" fillId="16" fontId="1" numFmtId="0" xfId="0" applyFill="1" applyFont="1"/>
    <xf borderId="0" fillId="16" fontId="1" numFmtId="0" xfId="0" applyAlignment="1" applyFont="1">
      <alignment readingOrder="0"/>
    </xf>
    <xf borderId="0" fillId="17" fontId="1" numFmtId="0" xfId="0" applyFill="1" applyFont="1"/>
    <xf borderId="0" fillId="17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6" fontId="11" numFmtId="0" xfId="0" applyAlignment="1" applyFont="1">
      <alignment readingOrder="0"/>
    </xf>
    <xf borderId="0" fillId="2" fontId="11" numFmtId="0" xfId="0" applyAlignment="1" applyFont="1">
      <alignment readingOrder="0"/>
    </xf>
    <xf borderId="0" fillId="15" fontId="11" numFmtId="0" xfId="0" applyAlignment="1" applyFont="1">
      <alignment readingOrder="0"/>
    </xf>
    <xf borderId="0" fillId="18" fontId="1" numFmtId="0" xfId="0" applyFill="1" applyFont="1"/>
    <xf borderId="0" fillId="18" fontId="1" numFmtId="0" xfId="0" applyAlignment="1" applyFont="1">
      <alignment readingOrder="0"/>
    </xf>
    <xf borderId="0" fillId="18" fontId="11" numFmtId="0" xfId="0" applyAlignment="1" applyFont="1">
      <alignment readingOrder="0"/>
    </xf>
    <xf borderId="0" fillId="19" fontId="1" numFmtId="0" xfId="0" applyFill="1" applyFont="1"/>
    <xf borderId="0" fillId="19" fontId="1" numFmtId="0" xfId="0" applyAlignment="1" applyFont="1">
      <alignment readingOrder="0"/>
    </xf>
    <xf borderId="0" fillId="19" fontId="11" numFmtId="0" xfId="0" applyAlignment="1" applyFont="1">
      <alignment readingOrder="0"/>
    </xf>
    <xf borderId="0" fillId="10" fontId="12" numFmtId="0" xfId="0" applyFont="1"/>
    <xf borderId="0" fillId="20" fontId="1" numFmtId="0" xfId="0" applyFill="1" applyFont="1"/>
    <xf borderId="0" fillId="20" fontId="1" numFmtId="0" xfId="0" applyAlignment="1" applyFont="1">
      <alignment readingOrder="0"/>
    </xf>
    <xf borderId="0" fillId="20" fontId="1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5" fontId="14" numFmtId="0" xfId="0" applyAlignment="1" applyBorder="1" applyFont="1">
      <alignment vertical="bottom"/>
    </xf>
    <xf borderId="1" fillId="4" fontId="15" numFmtId="0" xfId="0" applyAlignment="1" applyBorder="1" applyFont="1">
      <alignment horizontal="right" vertical="bottom"/>
    </xf>
    <xf borderId="0" fillId="5" fontId="6" numFmtId="0" xfId="0" applyAlignment="1" applyFont="1">
      <alignment vertical="bottom"/>
    </xf>
    <xf borderId="0" fillId="10" fontId="13" numFmtId="0" xfId="0" applyAlignment="1" applyFont="1">
      <alignment vertical="bottom"/>
    </xf>
    <xf borderId="0" fillId="5" fontId="14" numFmtId="0" xfId="0" applyAlignment="1" applyFont="1">
      <alignment vertical="bottom"/>
    </xf>
    <xf borderId="1" fillId="0" fontId="14" numFmtId="0" xfId="0" applyAlignment="1" applyBorder="1" applyFont="1">
      <alignment horizontal="right" vertical="bottom"/>
    </xf>
    <xf borderId="1" fillId="4" fontId="14" numFmtId="0" xfId="0" applyAlignment="1" applyBorder="1" applyFont="1">
      <alignment horizontal="right" vertical="bottom"/>
    </xf>
    <xf borderId="3" fillId="0" fontId="13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1" fillId="6" fontId="15" numFmtId="0" xfId="0" applyAlignment="1" applyBorder="1" applyFont="1">
      <alignment horizontal="right" vertical="bottom"/>
    </xf>
    <xf borderId="1" fillId="6" fontId="14" numFmtId="0" xfId="0" applyAlignment="1" applyBorder="1" applyFont="1">
      <alignment horizontal="right" vertical="bottom"/>
    </xf>
    <xf borderId="1" fillId="7" fontId="15" numFmtId="0" xfId="0" applyAlignment="1" applyBorder="1" applyFont="1">
      <alignment horizontal="right" vertical="bottom"/>
    </xf>
    <xf borderId="1" fillId="7" fontId="14" numFmtId="0" xfId="0" applyAlignment="1" applyBorder="1" applyFont="1">
      <alignment horizontal="right" vertical="bottom"/>
    </xf>
    <xf borderId="1" fillId="8" fontId="15" numFmtId="0" xfId="0" applyAlignment="1" applyBorder="1" applyFont="1">
      <alignment horizontal="right" vertical="bottom"/>
    </xf>
    <xf borderId="1" fillId="8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7.86"/>
    <col customWidth="1" min="2" max="3" width="14.86"/>
    <col customWidth="1" min="4" max="4" width="19.57"/>
    <col customWidth="1" min="5" max="6" width="28.57"/>
    <col customWidth="1" min="7" max="7" width="68.14"/>
    <col customWidth="1" min="8" max="8" width="44.14"/>
    <col customWidth="1" min="9" max="9" width="15.14"/>
    <col customWidth="1" min="10" max="10" width="15.0"/>
    <col customWidth="1" min="11" max="12" width="15.29"/>
    <col customWidth="1" min="13" max="13" width="16.57"/>
    <col customWidth="1" min="14" max="14" width="12.57"/>
    <col customWidth="1" min="15" max="15" width="10.43"/>
    <col customWidth="1" min="16" max="16" width="12.86"/>
    <col customWidth="1" min="17" max="17" width="11.71"/>
    <col customWidth="1" min="18" max="22" width="8.71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6.5" customHeight="1">
      <c r="A2" s="5">
        <v>10001.0</v>
      </c>
      <c r="B2" s="6">
        <f t="shared" ref="B2:C2" si="1">A2+10000</f>
        <v>20001</v>
      </c>
      <c r="C2" s="6">
        <f t="shared" si="1"/>
        <v>30001</v>
      </c>
      <c r="D2" s="7" t="str">
        <f t="shared" ref="D2:D113" si="3">"SkillName."&amp;A2</f>
        <v>SkillName.10001</v>
      </c>
      <c r="E2" s="7" t="s">
        <v>21</v>
      </c>
      <c r="F2" s="7" t="str">
        <f t="shared" ref="F2:F113" si="4">"SkillDesc."&amp;A2</f>
        <v>SkillDesc.10001</v>
      </c>
      <c r="G2" s="8" t="s">
        <v>22</v>
      </c>
      <c r="H2" s="8" t="s">
        <v>23</v>
      </c>
      <c r="I2" s="9" t="s">
        <v>24</v>
      </c>
      <c r="J2" s="10" t="str">
        <f>IFERROR(VLOOKUP(A2,'#level_value'!$A$2:$H$9999,3,FALSE),"")</f>
        <v>Vision</v>
      </c>
      <c r="K2" s="10" t="str">
        <f>IFERROR(VLOOKUP(A2,'#level_value'!$A$2:$H$9999,4,FALSE),"")</f>
        <v>Cumulative</v>
      </c>
      <c r="L2" s="10" t="str">
        <f>IFERROR(VLOOKUP(A2,'#level_value'!$A$2:$H$9999,7,FALSE),"")</f>
        <v>[0,0,0,0,0]</v>
      </c>
      <c r="M2" s="10" t="str">
        <f>IFERROR(VLOOKUP(A2,'#level_value'!$A$2:$H$9999,8,FALSE),"")</f>
        <v>[5,8,14,20,30]</v>
      </c>
      <c r="N2" s="10" t="str">
        <f>IFERROR(VLOOKUP(B2,'#level_value'!$A$2:$H$9999,3,FALSE),"")</f>
        <v/>
      </c>
      <c r="O2" s="10" t="str">
        <f>IFERROR(VLOOKUP(B2,'#level_value'!$A$2:$H$9999,4,FALSE),"")</f>
        <v/>
      </c>
      <c r="P2" s="10" t="str">
        <f>IFERROR(VLOOKUP(B2,'#level_value'!$A$2:$H$9999,7,FALSE),"")</f>
        <v/>
      </c>
      <c r="Q2" s="10" t="str">
        <f>IFERROR(VLOOKUP(B2,'#level_value'!$A$2:$H$9999,8,FALSE),"")</f>
        <v/>
      </c>
      <c r="R2" s="10" t="str">
        <f>IFERROR(VLOOKUP(C2,'#level_value'!$A$2:$H$9999,3,FALSE),"")</f>
        <v/>
      </c>
      <c r="S2" s="10" t="str">
        <f>IFERROR(VLOOKUP(C2,'#level_value'!$A$2:$H$9999,4,FALSE),"")</f>
        <v/>
      </c>
      <c r="T2" s="10" t="str">
        <f>IFERROR(VLOOKUP(C2,'#level_value'!$A$2:$H$9999,7,FALSE),"")</f>
        <v/>
      </c>
      <c r="U2" s="10" t="str">
        <f>IFERROR(VLOOKUP(C2,'#level_value'!$A$2:$H$9999,8,FALSE),"")</f>
        <v/>
      </c>
    </row>
    <row r="3" ht="16.5" customHeight="1">
      <c r="A3" s="11">
        <f t="shared" ref="A3:A47" si="5">A2+1</f>
        <v>10002</v>
      </c>
      <c r="B3" s="6">
        <f t="shared" ref="B3:C3" si="2">A3+10000</f>
        <v>20002</v>
      </c>
      <c r="C3" s="6">
        <f t="shared" si="2"/>
        <v>30002</v>
      </c>
      <c r="D3" s="7" t="str">
        <f t="shared" si="3"/>
        <v>SkillName.10002</v>
      </c>
      <c r="E3" s="7" t="s">
        <v>25</v>
      </c>
      <c r="F3" s="7" t="str">
        <f t="shared" si="4"/>
        <v>SkillDesc.10002</v>
      </c>
      <c r="G3" s="8" t="s">
        <v>26</v>
      </c>
      <c r="H3" s="8"/>
      <c r="I3" s="9" t="s">
        <v>24</v>
      </c>
      <c r="J3" s="10" t="str">
        <f>IFERROR(VLOOKUP(A3,'#level_value'!$A$2:$H$9999,3,FALSE),"")</f>
        <v>Vision</v>
      </c>
      <c r="K3" s="10" t="str">
        <f>IFERROR(VLOOKUP(A3,'#level_value'!$A$2:$H$9999,4,FALSE),"")</f>
        <v>Cumulative</v>
      </c>
      <c r="L3" s="10" t="str">
        <f>IFERROR(VLOOKUP(A3,'#level_value'!$A$2:$H$9999,7,FALSE),"")</f>
        <v>[0,0,0,0,0]</v>
      </c>
      <c r="M3" s="10" t="str">
        <f>IFERROR(VLOOKUP(A3,'#level_value'!$A$2:$H$9999,8,FALSE),"")</f>
        <v>[10,16,22,34,50]</v>
      </c>
      <c r="N3" s="10" t="str">
        <f>IFERROR(VLOOKUP(B3,'#level_value'!$A$2:$H$9999,3,FALSE),"")</f>
        <v/>
      </c>
      <c r="O3" s="10" t="str">
        <f>IFERROR(VLOOKUP(B3,'#level_value'!$A$2:$H$9999,4,FALSE),"")</f>
        <v/>
      </c>
      <c r="P3" s="10" t="str">
        <f>IFERROR(VLOOKUP(B3,'#level_value'!$A$2:$H$9999,7,FALSE),"")</f>
        <v/>
      </c>
      <c r="Q3" s="10" t="str">
        <f>IFERROR(VLOOKUP(B3,'#level_value'!$A$2:$H$9999,8,FALSE),"")</f>
        <v/>
      </c>
      <c r="R3" s="10" t="str">
        <f>IFERROR(VLOOKUP(C3,'#level_value'!$A$2:$H$9999,3,FALSE),"")</f>
        <v/>
      </c>
      <c r="S3" s="10" t="str">
        <f>IFERROR(VLOOKUP(C3,'#level_value'!$A$2:$H$9999,4,FALSE),"")</f>
        <v/>
      </c>
      <c r="T3" s="10" t="str">
        <f>IFERROR(VLOOKUP(C3,'#level_value'!$A$2:$H$9999,7,FALSE),"")</f>
        <v/>
      </c>
      <c r="U3" s="10" t="str">
        <f>IFERROR(VLOOKUP(C3,'#level_value'!$A$2:$H$9999,8,FALSE),"")</f>
        <v/>
      </c>
    </row>
    <row r="4" ht="16.5" customHeight="1">
      <c r="A4" s="11">
        <f t="shared" si="5"/>
        <v>10003</v>
      </c>
      <c r="B4" s="6">
        <f t="shared" ref="B4:C4" si="6">A4+10000</f>
        <v>20003</v>
      </c>
      <c r="C4" s="6">
        <f t="shared" si="6"/>
        <v>30003</v>
      </c>
      <c r="D4" s="7" t="str">
        <f t="shared" si="3"/>
        <v>SkillName.10003</v>
      </c>
      <c r="E4" s="7" t="s">
        <v>27</v>
      </c>
      <c r="F4" s="7" t="str">
        <f t="shared" si="4"/>
        <v>SkillDesc.10003</v>
      </c>
      <c r="G4" s="8" t="s">
        <v>28</v>
      </c>
      <c r="H4" s="8"/>
      <c r="I4" s="9" t="s">
        <v>24</v>
      </c>
      <c r="J4" s="10" t="str">
        <f>IFERROR(VLOOKUP(A4,'#level_value'!$A$2:$H$9999,3,FALSE),"")</f>
        <v>Vision</v>
      </c>
      <c r="K4" s="10" t="str">
        <f>IFERROR(VLOOKUP(A4,'#level_value'!$A$2:$H$9999,4,FALSE),"")</f>
        <v>Cumulative</v>
      </c>
      <c r="L4" s="10" t="str">
        <f>IFERROR(VLOOKUP(A4,'#level_value'!$A$2:$H$9999,7,FALSE),"")</f>
        <v>[0,0,0,0,0]</v>
      </c>
      <c r="M4" s="10" t="str">
        <f>IFERROR(VLOOKUP(A4,'#level_value'!$A$2:$H$9999,8,FALSE),"")</f>
        <v>[10,16,22,34,50]</v>
      </c>
      <c r="N4" s="10" t="str">
        <f>IFERROR(VLOOKUP(B4,'#level_value'!$A$2:$H$9999,3,FALSE),"")</f>
        <v>HittingSpeed</v>
      </c>
      <c r="O4" s="10" t="str">
        <f>IFERROR(VLOOKUP(B4,'#level_value'!$A$2:$H$9999,4,FALSE),"")</f>
        <v>AfterHit</v>
      </c>
      <c r="P4" s="10" t="str">
        <f>IFERROR(VLOOKUP(B4,'#level_value'!$A$2:$H$9999,7,FALSE),"")</f>
        <v>[0,0,0,0,0]</v>
      </c>
      <c r="Q4" s="10" t="str">
        <f>IFERROR(VLOOKUP(B4,'#level_value'!$A$2:$H$9999,8,FALSE),"")</f>
        <v>[30000,50000,70000,100000,150000]</v>
      </c>
      <c r="R4" s="10" t="str">
        <f>IFERROR(VLOOKUP(C4,'#level_value'!$A$2:$H$9999,3,FALSE),"")</f>
        <v/>
      </c>
      <c r="S4" s="10" t="str">
        <f>IFERROR(VLOOKUP(C4,'#level_value'!$A$2:$H$9999,4,FALSE),"")</f>
        <v/>
      </c>
      <c r="T4" s="10" t="str">
        <f>IFERROR(VLOOKUP(C4,'#level_value'!$A$2:$H$9999,7,FALSE),"")</f>
        <v/>
      </c>
      <c r="U4" s="10" t="str">
        <f>IFERROR(VLOOKUP(C4,'#level_value'!$A$2:$H$9999,8,FALSE),"")</f>
        <v/>
      </c>
    </row>
    <row r="5" ht="16.5" customHeight="1">
      <c r="A5" s="11">
        <f t="shared" si="5"/>
        <v>10004</v>
      </c>
      <c r="B5" s="6">
        <f t="shared" ref="B5:C5" si="7">A5+10000</f>
        <v>20004</v>
      </c>
      <c r="C5" s="6">
        <f t="shared" si="7"/>
        <v>30004</v>
      </c>
      <c r="D5" s="7" t="str">
        <f t="shared" si="3"/>
        <v>SkillName.10004</v>
      </c>
      <c r="E5" s="7" t="s">
        <v>29</v>
      </c>
      <c r="F5" s="7" t="str">
        <f t="shared" si="4"/>
        <v>SkillDesc.10004</v>
      </c>
      <c r="G5" s="8" t="s">
        <v>30</v>
      </c>
      <c r="H5" s="8" t="s">
        <v>31</v>
      </c>
      <c r="I5" s="9" t="s">
        <v>24</v>
      </c>
      <c r="J5" s="10" t="str">
        <f>IFERROR(VLOOKUP(A5,'#level_value'!$A$2:$H$9999,3,FALSE),"")</f>
        <v>Contact</v>
      </c>
      <c r="K5" s="10" t="str">
        <f>IFERROR(VLOOKUP(A5,'#level_value'!$A$2:$H$9999,4,FALSE),"")</f>
        <v>RightPitcher</v>
      </c>
      <c r="L5" s="10" t="str">
        <f>IFERROR(VLOOKUP(A5,'#level_value'!$A$2:$H$9999,7,FALSE),"")</f>
        <v>[30,35,40,45,50]</v>
      </c>
      <c r="M5" s="10" t="str">
        <f>IFERROR(VLOOKUP(A5,'#level_value'!$A$2:$H$9999,8,FALSE),"")</f>
        <v>[5,8,14,20,30]</v>
      </c>
      <c r="N5" s="10" t="str">
        <f>IFERROR(VLOOKUP(B5,'#level_value'!$A$2:$H$9999,3,FALSE),"")</f>
        <v/>
      </c>
      <c r="O5" s="10" t="str">
        <f>IFERROR(VLOOKUP(B5,'#level_value'!$A$2:$H$9999,4,FALSE),"")</f>
        <v/>
      </c>
      <c r="P5" s="10" t="str">
        <f>IFERROR(VLOOKUP(B5,'#level_value'!$A$2:$H$9999,7,FALSE),"")</f>
        <v/>
      </c>
      <c r="Q5" s="10" t="str">
        <f>IFERROR(VLOOKUP(B5,'#level_value'!$A$2:$H$9999,8,FALSE),"")</f>
        <v/>
      </c>
      <c r="R5" s="10" t="str">
        <f>IFERROR(VLOOKUP(C5,'#level_value'!$A$2:$H$9999,3,FALSE),"")</f>
        <v/>
      </c>
      <c r="S5" s="10" t="str">
        <f>IFERROR(VLOOKUP(C5,'#level_value'!$A$2:$H$9999,4,FALSE),"")</f>
        <v/>
      </c>
      <c r="T5" s="10" t="str">
        <f>IFERROR(VLOOKUP(C5,'#level_value'!$A$2:$H$9999,7,FALSE),"")</f>
        <v/>
      </c>
      <c r="U5" s="10" t="str">
        <f>IFERROR(VLOOKUP(C5,'#level_value'!$A$2:$H$9999,8,FALSE),"")</f>
        <v/>
      </c>
    </row>
    <row r="6" ht="16.5" customHeight="1">
      <c r="A6" s="11">
        <f t="shared" si="5"/>
        <v>10005</v>
      </c>
      <c r="B6" s="6">
        <f t="shared" ref="B6:C6" si="8">A6+10000</f>
        <v>20005</v>
      </c>
      <c r="C6" s="6">
        <f t="shared" si="8"/>
        <v>30005</v>
      </c>
      <c r="D6" s="7" t="str">
        <f t="shared" si="3"/>
        <v>SkillName.10005</v>
      </c>
      <c r="E6" s="7" t="s">
        <v>32</v>
      </c>
      <c r="F6" s="7" t="str">
        <f t="shared" si="4"/>
        <v>SkillDesc.10005</v>
      </c>
      <c r="G6" s="8" t="s">
        <v>30</v>
      </c>
      <c r="H6" s="8"/>
      <c r="I6" s="9" t="s">
        <v>24</v>
      </c>
      <c r="J6" s="10" t="str">
        <f>IFERROR(VLOOKUP(A6,'#level_value'!$A$2:$H$9999,3,FALSE),"")</f>
        <v>Contact</v>
      </c>
      <c r="K6" s="10" t="str">
        <f>IFERROR(VLOOKUP(A6,'#level_value'!$A$2:$H$9999,4,FALSE),"")</f>
        <v>RightPitcher</v>
      </c>
      <c r="L6" s="10" t="str">
        <f>IFERROR(VLOOKUP(A6,'#level_value'!$A$2:$H$9999,7,FALSE),"")</f>
        <v>[50,55,60,65,70]</v>
      </c>
      <c r="M6" s="10" t="str">
        <f>IFERROR(VLOOKUP(A6,'#level_value'!$A$2:$H$9999,8,FALSE),"")</f>
        <v>[10,16,22,34,50]</v>
      </c>
      <c r="N6" s="10" t="str">
        <f>IFERROR(VLOOKUP(B6,'#level_value'!$A$2:$H$9999,3,FALSE),"")</f>
        <v/>
      </c>
      <c r="O6" s="10" t="str">
        <f>IFERROR(VLOOKUP(B6,'#level_value'!$A$2:$H$9999,4,FALSE),"")</f>
        <v/>
      </c>
      <c r="P6" s="10" t="str">
        <f>IFERROR(VLOOKUP(B6,'#level_value'!$A$2:$H$9999,7,FALSE),"")</f>
        <v/>
      </c>
      <c r="Q6" s="10" t="str">
        <f>IFERROR(VLOOKUP(B6,'#level_value'!$A$2:$H$9999,8,FALSE),"")</f>
        <v/>
      </c>
      <c r="R6" s="10" t="str">
        <f>IFERROR(VLOOKUP(C6,'#level_value'!$A$2:$H$9999,3,FALSE),"")</f>
        <v/>
      </c>
      <c r="S6" s="10" t="str">
        <f>IFERROR(VLOOKUP(C6,'#level_value'!$A$2:$H$9999,4,FALSE),"")</f>
        <v/>
      </c>
      <c r="T6" s="10" t="str">
        <f>IFERROR(VLOOKUP(C6,'#level_value'!$A$2:$H$9999,7,FALSE),"")</f>
        <v/>
      </c>
      <c r="U6" s="10" t="str">
        <f>IFERROR(VLOOKUP(C6,'#level_value'!$A$2:$H$9999,8,FALSE),"")</f>
        <v/>
      </c>
    </row>
    <row r="7" ht="16.5" customHeight="1">
      <c r="A7" s="11">
        <f t="shared" si="5"/>
        <v>10006</v>
      </c>
      <c r="B7" s="6">
        <f t="shared" ref="B7:C7" si="9">A7+10000</f>
        <v>20006</v>
      </c>
      <c r="C7" s="6">
        <f t="shared" si="9"/>
        <v>30006</v>
      </c>
      <c r="D7" s="7" t="str">
        <f t="shared" si="3"/>
        <v>SkillName.10006</v>
      </c>
      <c r="E7" s="7" t="s">
        <v>33</v>
      </c>
      <c r="F7" s="7" t="str">
        <f t="shared" si="4"/>
        <v>SkillDesc.10006</v>
      </c>
      <c r="G7" s="8" t="s">
        <v>34</v>
      </c>
      <c r="H7" s="8"/>
      <c r="I7" s="9" t="s">
        <v>24</v>
      </c>
      <c r="J7" s="10" t="str">
        <f>IFERROR(VLOOKUP(A7,'#level_value'!$A$2:$H$9999,3,FALSE),"")</f>
        <v>Contact</v>
      </c>
      <c r="K7" s="10" t="str">
        <f>IFERROR(VLOOKUP(A7,'#level_value'!$A$2:$H$9999,4,FALSE),"")</f>
        <v>RightPitcher</v>
      </c>
      <c r="L7" s="10" t="str">
        <f>IFERROR(VLOOKUP(A7,'#level_value'!$A$2:$H$9999,7,FALSE),"")</f>
        <v>[0,0,0,0,0]</v>
      </c>
      <c r="M7" s="10" t="str">
        <f>IFERROR(VLOOKUP(A7,'#level_value'!$A$2:$H$9999,8,FALSE),"")</f>
        <v>[10,16,22,34,50]</v>
      </c>
      <c r="N7" s="10" t="str">
        <f>IFERROR(VLOOKUP(B7,'#level_value'!$A$2:$H$9999,3,FALSE),"")</f>
        <v>Vision</v>
      </c>
      <c r="O7" s="10" t="str">
        <f>IFERROR(VLOOKUP(B7,'#level_value'!$A$2:$H$9999,4,FALSE),"")</f>
        <v>MainActivated</v>
      </c>
      <c r="P7" s="10" t="str">
        <f>IFERROR(VLOOKUP(B7,'#level_value'!$A$2:$H$9999,7,FALSE),"")</f>
        <v>[0,0,0,0,0]</v>
      </c>
      <c r="Q7" s="10" t="str">
        <f>IFERROR(VLOOKUP(B7,'#level_value'!$A$2:$H$9999,8,FALSE),"")</f>
        <v>[5,8,11,18,25]</v>
      </c>
      <c r="R7" s="10" t="str">
        <f>IFERROR(VLOOKUP(C7,'#level_value'!$A$2:$H$9999,3,FALSE),"")</f>
        <v/>
      </c>
      <c r="S7" s="10" t="str">
        <f>IFERROR(VLOOKUP(C7,'#level_value'!$A$2:$H$9999,4,FALSE),"")</f>
        <v/>
      </c>
      <c r="T7" s="10" t="str">
        <f>IFERROR(VLOOKUP(C7,'#level_value'!$A$2:$H$9999,7,FALSE),"")</f>
        <v/>
      </c>
      <c r="U7" s="10" t="str">
        <f>IFERROR(VLOOKUP(C7,'#level_value'!$A$2:$H$9999,8,FALSE),"")</f>
        <v/>
      </c>
    </row>
    <row r="8" ht="16.5" customHeight="1">
      <c r="A8" s="11">
        <f t="shared" si="5"/>
        <v>10007</v>
      </c>
      <c r="B8" s="6">
        <f t="shared" ref="B8:C8" si="10">A8+10000</f>
        <v>20007</v>
      </c>
      <c r="C8" s="6">
        <f t="shared" si="10"/>
        <v>30007</v>
      </c>
      <c r="D8" s="7" t="str">
        <f t="shared" si="3"/>
        <v>SkillName.10007</v>
      </c>
      <c r="E8" s="7" t="s">
        <v>35</v>
      </c>
      <c r="F8" s="7" t="str">
        <f t="shared" si="4"/>
        <v>SkillDesc.10007</v>
      </c>
      <c r="G8" s="8" t="s">
        <v>36</v>
      </c>
      <c r="H8" s="8" t="s">
        <v>37</v>
      </c>
      <c r="I8" s="9" t="s">
        <v>24</v>
      </c>
      <c r="J8" s="10" t="str">
        <f>IFERROR(VLOOKUP(A8,'#level_value'!$A$2:$H$9999,3,FALSE),"")</f>
        <v>Power</v>
      </c>
      <c r="K8" s="10" t="str">
        <f>IFERROR(VLOOKUP(A8,'#level_value'!$A$2:$H$9999,4,FALSE),"")</f>
        <v>LeftPitcher</v>
      </c>
      <c r="L8" s="10" t="str">
        <f>IFERROR(VLOOKUP(A8,'#level_value'!$A$2:$H$9999,7,FALSE),"")</f>
        <v>[30,35,40,45,50]</v>
      </c>
      <c r="M8" s="10" t="str">
        <f>IFERROR(VLOOKUP(A8,'#level_value'!$A$2:$H$9999,8,FALSE),"")</f>
        <v>[5,8,14,20,30]</v>
      </c>
      <c r="N8" s="10" t="str">
        <f>IFERROR(VLOOKUP(B8,'#level_value'!$A$2:$H$9999,3,FALSE),"")</f>
        <v/>
      </c>
      <c r="O8" s="10" t="str">
        <f>IFERROR(VLOOKUP(B8,'#level_value'!$A$2:$H$9999,4,FALSE),"")</f>
        <v/>
      </c>
      <c r="P8" s="10" t="str">
        <f>IFERROR(VLOOKUP(B8,'#level_value'!$A$2:$H$9999,7,FALSE),"")</f>
        <v/>
      </c>
      <c r="Q8" s="10" t="str">
        <f>IFERROR(VLOOKUP(B8,'#level_value'!$A$2:$H$9999,8,FALSE),"")</f>
        <v/>
      </c>
      <c r="R8" s="10" t="str">
        <f>IFERROR(VLOOKUP(C8,'#level_value'!$A$2:$H$9999,3,FALSE),"")</f>
        <v/>
      </c>
      <c r="S8" s="10" t="str">
        <f>IFERROR(VLOOKUP(C8,'#level_value'!$A$2:$H$9999,4,FALSE),"")</f>
        <v/>
      </c>
      <c r="T8" s="10" t="str">
        <f>IFERROR(VLOOKUP(C8,'#level_value'!$A$2:$H$9999,7,FALSE),"")</f>
        <v/>
      </c>
      <c r="U8" s="10" t="str">
        <f>IFERROR(VLOOKUP(C8,'#level_value'!$A$2:$H$9999,8,FALSE),"")</f>
        <v/>
      </c>
    </row>
    <row r="9" ht="16.5" customHeight="1">
      <c r="A9" s="11">
        <f t="shared" si="5"/>
        <v>10008</v>
      </c>
      <c r="B9" s="6">
        <f t="shared" ref="B9:C9" si="11">A9+10000</f>
        <v>20008</v>
      </c>
      <c r="C9" s="6">
        <f t="shared" si="11"/>
        <v>30008</v>
      </c>
      <c r="D9" s="7" t="str">
        <f t="shared" si="3"/>
        <v>SkillName.10008</v>
      </c>
      <c r="E9" s="7" t="s">
        <v>38</v>
      </c>
      <c r="F9" s="7" t="str">
        <f t="shared" si="4"/>
        <v>SkillDesc.10008</v>
      </c>
      <c r="G9" s="8" t="s">
        <v>36</v>
      </c>
      <c r="H9" s="8"/>
      <c r="I9" s="9" t="s">
        <v>24</v>
      </c>
      <c r="J9" s="10" t="str">
        <f>IFERROR(VLOOKUP(A9,'#level_value'!$A$2:$H$9999,3,FALSE),"")</f>
        <v>Power</v>
      </c>
      <c r="K9" s="10" t="str">
        <f>IFERROR(VLOOKUP(A9,'#level_value'!$A$2:$H$9999,4,FALSE),"")</f>
        <v>LeftPitcher</v>
      </c>
      <c r="L9" s="10" t="str">
        <f>IFERROR(VLOOKUP(A9,'#level_value'!$A$2:$H$9999,7,FALSE),"")</f>
        <v>[50,55,60,65,70]</v>
      </c>
      <c r="M9" s="10" t="str">
        <f>IFERROR(VLOOKUP(A9,'#level_value'!$A$2:$H$9999,8,FALSE),"")</f>
        <v>[10,16,22,34,50]</v>
      </c>
      <c r="N9" s="10" t="str">
        <f>IFERROR(VLOOKUP(B9,'#level_value'!$A$2:$H$9999,3,FALSE),"")</f>
        <v/>
      </c>
      <c r="O9" s="10" t="str">
        <f>IFERROR(VLOOKUP(B9,'#level_value'!$A$2:$H$9999,4,FALSE),"")</f>
        <v/>
      </c>
      <c r="P9" s="10" t="str">
        <f>IFERROR(VLOOKUP(B9,'#level_value'!$A$2:$H$9999,7,FALSE),"")</f>
        <v/>
      </c>
      <c r="Q9" s="10" t="str">
        <f>IFERROR(VLOOKUP(B9,'#level_value'!$A$2:$H$9999,8,FALSE),"")</f>
        <v/>
      </c>
      <c r="R9" s="10" t="str">
        <f>IFERROR(VLOOKUP(C9,'#level_value'!$A$2:$H$9999,3,FALSE),"")</f>
        <v/>
      </c>
      <c r="S9" s="10" t="str">
        <f>IFERROR(VLOOKUP(C9,'#level_value'!$A$2:$H$9999,4,FALSE),"")</f>
        <v/>
      </c>
      <c r="T9" s="10" t="str">
        <f>IFERROR(VLOOKUP(C9,'#level_value'!$A$2:$H$9999,7,FALSE),"")</f>
        <v/>
      </c>
      <c r="U9" s="10" t="str">
        <f>IFERROR(VLOOKUP(C9,'#level_value'!$A$2:$H$9999,8,FALSE),"")</f>
        <v/>
      </c>
    </row>
    <row r="10" ht="16.5" customHeight="1">
      <c r="A10" s="11">
        <f t="shared" si="5"/>
        <v>10009</v>
      </c>
      <c r="B10" s="6">
        <f t="shared" ref="B10:C10" si="12">A10+10000</f>
        <v>20009</v>
      </c>
      <c r="C10" s="6">
        <f t="shared" si="12"/>
        <v>30009</v>
      </c>
      <c r="D10" s="7" t="str">
        <f t="shared" si="3"/>
        <v>SkillName.10009</v>
      </c>
      <c r="E10" s="7" t="s">
        <v>39</v>
      </c>
      <c r="F10" s="7" t="str">
        <f t="shared" si="4"/>
        <v>SkillDesc.10009</v>
      </c>
      <c r="G10" s="8" t="s">
        <v>40</v>
      </c>
      <c r="H10" s="8"/>
      <c r="I10" s="9" t="s">
        <v>24</v>
      </c>
      <c r="J10" s="10" t="str">
        <f>IFERROR(VLOOKUP(A10,'#level_value'!$A$2:$H$9999,3,FALSE),"")</f>
        <v>Power</v>
      </c>
      <c r="K10" s="10" t="str">
        <f>IFERROR(VLOOKUP(A10,'#level_value'!$A$2:$H$9999,4,FALSE),"")</f>
        <v>LeftPitcher</v>
      </c>
      <c r="L10" s="10" t="str">
        <f>IFERROR(VLOOKUP(A10,'#level_value'!$A$2:$H$9999,7,FALSE),"")</f>
        <v>[0,0,0,0,0]</v>
      </c>
      <c r="M10" s="10" t="str">
        <f>IFERROR(VLOOKUP(A10,'#level_value'!$A$2:$H$9999,8,FALSE),"")</f>
        <v>[10,16,22,34,50]</v>
      </c>
      <c r="N10" s="10" t="str">
        <f>IFERROR(VLOOKUP(B10,'#level_value'!$A$2:$H$9999,3,FALSE),"")</f>
        <v>Vision</v>
      </c>
      <c r="O10" s="10" t="str">
        <f>IFERROR(VLOOKUP(B10,'#level_value'!$A$2:$H$9999,4,FALSE),"")</f>
        <v>MainActivated</v>
      </c>
      <c r="P10" s="10" t="str">
        <f>IFERROR(VLOOKUP(B10,'#level_value'!$A$2:$H$9999,7,FALSE),"")</f>
        <v>[0,0,0,0,0]</v>
      </c>
      <c r="Q10" s="10" t="str">
        <f>IFERROR(VLOOKUP(B10,'#level_value'!$A$2:$H$9999,8,FALSE),"")</f>
        <v>[5,8,11,18,25]</v>
      </c>
      <c r="R10" s="10" t="str">
        <f>IFERROR(VLOOKUP(C10,'#level_value'!$A$2:$H$9999,3,FALSE),"")</f>
        <v/>
      </c>
      <c r="S10" s="10" t="str">
        <f>IFERROR(VLOOKUP(C10,'#level_value'!$A$2:$H$9999,4,FALSE),"")</f>
        <v/>
      </c>
      <c r="T10" s="10" t="str">
        <f>IFERROR(VLOOKUP(C10,'#level_value'!$A$2:$H$9999,7,FALSE),"")</f>
        <v/>
      </c>
      <c r="U10" s="10" t="str">
        <f>IFERROR(VLOOKUP(C10,'#level_value'!$A$2:$H$9999,8,FALSE),"")</f>
        <v/>
      </c>
    </row>
    <row r="11" ht="16.5" customHeight="1">
      <c r="A11" s="11">
        <f t="shared" si="5"/>
        <v>10010</v>
      </c>
      <c r="B11" s="6">
        <f t="shared" ref="B11:C11" si="13">A11+10000</f>
        <v>20010</v>
      </c>
      <c r="C11" s="6">
        <f t="shared" si="13"/>
        <v>30010</v>
      </c>
      <c r="D11" s="7" t="str">
        <f t="shared" si="3"/>
        <v>SkillName.10010</v>
      </c>
      <c r="E11" s="8" t="s">
        <v>41</v>
      </c>
      <c r="F11" s="7" t="str">
        <f t="shared" si="4"/>
        <v>SkillDesc.10010</v>
      </c>
      <c r="G11" s="8" t="s">
        <v>42</v>
      </c>
      <c r="H11" s="8" t="s">
        <v>43</v>
      </c>
      <c r="I11" s="9" t="s">
        <v>24</v>
      </c>
      <c r="J11" s="10" t="str">
        <f>IFERROR(VLOOKUP(A11,'#level_value'!$A$2:$H$9999,3,FALSE),"")</f>
        <v>Contact</v>
      </c>
      <c r="K11" s="10" t="str">
        <f>IFERROR(VLOOKUP(A11,'#level_value'!$A$2:$H$9999,4,FALSE),"")</f>
        <v>Walkoff</v>
      </c>
      <c r="L11" s="10" t="str">
        <f>IFERROR(VLOOKUP(A11,'#level_value'!$A$2:$H$9999,7,FALSE),"")</f>
        <v>[0,0,0,0,0]</v>
      </c>
      <c r="M11" s="10" t="str">
        <f>IFERROR(VLOOKUP(A11,'#level_value'!$A$2:$H$9999,8,FALSE),"")</f>
        <v>[5,8,14,20,30]</v>
      </c>
      <c r="N11" s="10" t="str">
        <f>IFERROR(VLOOKUP(B11,'#level_value'!$A$2:$H$9999,3,FALSE),"")</f>
        <v/>
      </c>
      <c r="O11" s="10" t="str">
        <f>IFERROR(VLOOKUP(B11,'#level_value'!$A$2:$H$9999,4,FALSE),"")</f>
        <v/>
      </c>
      <c r="P11" s="10" t="str">
        <f>IFERROR(VLOOKUP(B11,'#level_value'!$A$2:$H$9999,7,FALSE),"")</f>
        <v/>
      </c>
      <c r="Q11" s="10" t="str">
        <f>IFERROR(VLOOKUP(B11,'#level_value'!$A$2:$H$9999,8,FALSE),"")</f>
        <v/>
      </c>
      <c r="R11" s="10" t="str">
        <f>IFERROR(VLOOKUP(C11,'#level_value'!$A$2:$H$9999,3,FALSE),"")</f>
        <v/>
      </c>
      <c r="S11" s="10" t="str">
        <f>IFERROR(VLOOKUP(C11,'#level_value'!$A$2:$H$9999,4,FALSE),"")</f>
        <v/>
      </c>
      <c r="T11" s="10" t="str">
        <f>IFERROR(VLOOKUP(C11,'#level_value'!$A$2:$H$9999,7,FALSE),"")</f>
        <v/>
      </c>
      <c r="U11" s="10" t="str">
        <f>IFERROR(VLOOKUP(C11,'#level_value'!$A$2:$H$9999,8,FALSE),"")</f>
        <v/>
      </c>
    </row>
    <row r="12" ht="16.5" customHeight="1">
      <c r="A12" s="11">
        <f t="shared" si="5"/>
        <v>10011</v>
      </c>
      <c r="B12" s="6">
        <f t="shared" ref="B12:C12" si="14">A12+10000</f>
        <v>20011</v>
      </c>
      <c r="C12" s="6">
        <f t="shared" si="14"/>
        <v>30011</v>
      </c>
      <c r="D12" s="7" t="str">
        <f t="shared" si="3"/>
        <v>SkillName.10011</v>
      </c>
      <c r="E12" s="8" t="s">
        <v>44</v>
      </c>
      <c r="F12" s="7" t="str">
        <f t="shared" si="4"/>
        <v>SkillDesc.10011</v>
      </c>
      <c r="G12" s="8" t="s">
        <v>45</v>
      </c>
      <c r="H12" s="8"/>
      <c r="I12" s="9" t="s">
        <v>24</v>
      </c>
      <c r="J12" s="10" t="str">
        <f>IFERROR(VLOOKUP(A12,'#level_value'!$A$2:$H$9999,3,FALSE),"")</f>
        <v>Power</v>
      </c>
      <c r="K12" s="10" t="str">
        <f>IFERROR(VLOOKUP(A12,'#level_value'!$A$2:$H$9999,4,FALSE),"")</f>
        <v>Walkoff</v>
      </c>
      <c r="L12" s="10" t="str">
        <f>IFERROR(VLOOKUP(A12,'#level_value'!$A$2:$H$9999,7,FALSE),"")</f>
        <v>[0,0,0,0,0]</v>
      </c>
      <c r="M12" s="10" t="str">
        <f>IFERROR(VLOOKUP(A12,'#level_value'!$A$2:$H$9999,8,FALSE),"")</f>
        <v>[10,16,22,34,50]</v>
      </c>
      <c r="N12" s="10" t="str">
        <f>IFERROR(VLOOKUP(B12,'#level_value'!$A$2:$H$9999,3,FALSE),"")</f>
        <v/>
      </c>
      <c r="O12" s="10" t="str">
        <f>IFERROR(VLOOKUP(B12,'#level_value'!$A$2:$H$9999,4,FALSE),"")</f>
        <v/>
      </c>
      <c r="P12" s="10" t="str">
        <f>IFERROR(VLOOKUP(B12,'#level_value'!$A$2:$H$9999,7,FALSE),"")</f>
        <v/>
      </c>
      <c r="Q12" s="10" t="str">
        <f>IFERROR(VLOOKUP(B12,'#level_value'!$A$2:$H$9999,8,FALSE),"")</f>
        <v/>
      </c>
      <c r="R12" s="10" t="str">
        <f>IFERROR(VLOOKUP(C12,'#level_value'!$A$2:$H$9999,3,FALSE),"")</f>
        <v/>
      </c>
      <c r="S12" s="10" t="str">
        <f>IFERROR(VLOOKUP(C12,'#level_value'!$A$2:$H$9999,4,FALSE),"")</f>
        <v/>
      </c>
      <c r="T12" s="10" t="str">
        <f>IFERROR(VLOOKUP(C12,'#level_value'!$A$2:$H$9999,7,FALSE),"")</f>
        <v/>
      </c>
      <c r="U12" s="10" t="str">
        <f>IFERROR(VLOOKUP(C12,'#level_value'!$A$2:$H$9999,8,FALSE),"")</f>
        <v/>
      </c>
    </row>
    <row r="13" ht="16.5" customHeight="1">
      <c r="A13" s="11">
        <f t="shared" si="5"/>
        <v>10012</v>
      </c>
      <c r="B13" s="6">
        <f t="shared" ref="B13:C13" si="15">A13+10000</f>
        <v>20012</v>
      </c>
      <c r="C13" s="6">
        <f t="shared" si="15"/>
        <v>30012</v>
      </c>
      <c r="D13" s="7" t="str">
        <f t="shared" si="3"/>
        <v>SkillName.10012</v>
      </c>
      <c r="E13" s="8" t="s">
        <v>46</v>
      </c>
      <c r="F13" s="7" t="str">
        <f t="shared" si="4"/>
        <v>SkillDesc.10012</v>
      </c>
      <c r="G13" s="8" t="s">
        <v>47</v>
      </c>
      <c r="H13" s="8" t="s">
        <v>48</v>
      </c>
      <c r="I13" s="9" t="s">
        <v>24</v>
      </c>
      <c r="J13" s="10" t="str">
        <f>IFERROR(VLOOKUP(A13,'#level_value'!$A$2:$H$9999,3,FALSE),"")</f>
        <v>Power</v>
      </c>
      <c r="K13" s="10" t="str">
        <f>IFERROR(VLOOKUP(A13,'#level_value'!$A$2:$H$9999,4,FALSE),"")</f>
        <v>FirstPitch</v>
      </c>
      <c r="L13" s="10" t="str">
        <f>IFERROR(VLOOKUP(A13,'#level_value'!$A$2:$H$9999,7,FALSE),"")</f>
        <v>[30,35,40,45,50]</v>
      </c>
      <c r="M13" s="10" t="str">
        <f>IFERROR(VLOOKUP(A13,'#level_value'!$A$2:$H$9999,8,FALSE),"")</f>
        <v>[5,8,14,20,30]</v>
      </c>
      <c r="N13" s="10" t="str">
        <f>IFERROR(VLOOKUP(B13,'#level_value'!$A$2:$H$9999,3,FALSE),"")</f>
        <v/>
      </c>
      <c r="O13" s="10" t="str">
        <f>IFERROR(VLOOKUP(B13,'#level_value'!$A$2:$H$9999,4,FALSE),"")</f>
        <v/>
      </c>
      <c r="P13" s="10" t="str">
        <f>IFERROR(VLOOKUP(B13,'#level_value'!$A$2:$H$9999,7,FALSE),"")</f>
        <v/>
      </c>
      <c r="Q13" s="10" t="str">
        <f>IFERROR(VLOOKUP(B13,'#level_value'!$A$2:$H$9999,8,FALSE),"")</f>
        <v/>
      </c>
      <c r="R13" s="10" t="str">
        <f>IFERROR(VLOOKUP(C13,'#level_value'!$A$2:$H$9999,3,FALSE),"")</f>
        <v/>
      </c>
      <c r="S13" s="10" t="str">
        <f>IFERROR(VLOOKUP(C13,'#level_value'!$A$2:$H$9999,4,FALSE),"")</f>
        <v/>
      </c>
      <c r="T13" s="10" t="str">
        <f>IFERROR(VLOOKUP(C13,'#level_value'!$A$2:$H$9999,7,FALSE),"")</f>
        <v/>
      </c>
      <c r="U13" s="10" t="str">
        <f>IFERROR(VLOOKUP(C13,'#level_value'!$A$2:$H$9999,8,FALSE),"")</f>
        <v/>
      </c>
    </row>
    <row r="14" ht="16.5" customHeight="1">
      <c r="A14" s="11">
        <f t="shared" si="5"/>
        <v>10013</v>
      </c>
      <c r="B14" s="6">
        <f t="shared" ref="B14:C14" si="16">A14+10000</f>
        <v>20013</v>
      </c>
      <c r="C14" s="6">
        <f t="shared" si="16"/>
        <v>30013</v>
      </c>
      <c r="D14" s="7" t="str">
        <f t="shared" si="3"/>
        <v>SkillName.10013</v>
      </c>
      <c r="E14" s="8" t="s">
        <v>49</v>
      </c>
      <c r="F14" s="7" t="str">
        <f t="shared" si="4"/>
        <v>SkillDesc.10013</v>
      </c>
      <c r="G14" s="12" t="s">
        <v>47</v>
      </c>
      <c r="H14" s="12"/>
      <c r="I14" s="9" t="s">
        <v>24</v>
      </c>
      <c r="J14" s="10" t="str">
        <f>IFERROR(VLOOKUP(A14,'#level_value'!$A$2:$H$9999,3,FALSE),"")</f>
        <v>Power</v>
      </c>
      <c r="K14" s="10" t="str">
        <f>IFERROR(VLOOKUP(A14,'#level_value'!$A$2:$H$9999,4,FALSE),"")</f>
        <v>FirstPitch</v>
      </c>
      <c r="L14" s="10" t="str">
        <f>IFERROR(VLOOKUP(A14,'#level_value'!$A$2:$H$9999,7,FALSE),"")</f>
        <v>[50,55,60,65,70]</v>
      </c>
      <c r="M14" s="10" t="str">
        <f>IFERROR(VLOOKUP(A14,'#level_value'!$A$2:$H$9999,8,FALSE),"")</f>
        <v>[10,16,22,34,50]</v>
      </c>
      <c r="N14" s="10" t="str">
        <f>IFERROR(VLOOKUP(B14,'#level_value'!$A$2:$H$9999,3,FALSE),"")</f>
        <v/>
      </c>
      <c r="O14" s="10" t="str">
        <f>IFERROR(VLOOKUP(B14,'#level_value'!$A$2:$H$9999,4,FALSE),"")</f>
        <v/>
      </c>
      <c r="P14" s="10" t="str">
        <f>IFERROR(VLOOKUP(B14,'#level_value'!$A$2:$H$9999,7,FALSE),"")</f>
        <v/>
      </c>
      <c r="Q14" s="10" t="str">
        <f>IFERROR(VLOOKUP(B14,'#level_value'!$A$2:$H$9999,8,FALSE),"")</f>
        <v/>
      </c>
      <c r="R14" s="10" t="str">
        <f>IFERROR(VLOOKUP(C14,'#level_value'!$A$2:$H$9999,3,FALSE),"")</f>
        <v/>
      </c>
      <c r="S14" s="10" t="str">
        <f>IFERROR(VLOOKUP(C14,'#level_value'!$A$2:$H$9999,4,FALSE),"")</f>
        <v/>
      </c>
      <c r="T14" s="10" t="str">
        <f>IFERROR(VLOOKUP(C14,'#level_value'!$A$2:$H$9999,7,FALSE),"")</f>
        <v/>
      </c>
      <c r="U14" s="10" t="str">
        <f>IFERROR(VLOOKUP(C14,'#level_value'!$A$2:$H$9999,8,FALSE),"")</f>
        <v/>
      </c>
    </row>
    <row r="15" ht="16.5" customHeight="1">
      <c r="A15" s="11">
        <f t="shared" si="5"/>
        <v>10014</v>
      </c>
      <c r="B15" s="6">
        <f t="shared" ref="B15:C15" si="17">A15+10000</f>
        <v>20014</v>
      </c>
      <c r="C15" s="6">
        <f t="shared" si="17"/>
        <v>30014</v>
      </c>
      <c r="D15" s="7" t="str">
        <f t="shared" si="3"/>
        <v>SkillName.10014</v>
      </c>
      <c r="E15" s="8" t="s">
        <v>50</v>
      </c>
      <c r="F15" s="7" t="str">
        <f t="shared" si="4"/>
        <v>SkillDesc.10014</v>
      </c>
      <c r="G15" s="8" t="s">
        <v>51</v>
      </c>
      <c r="H15" s="8"/>
      <c r="I15" s="9" t="s">
        <v>24</v>
      </c>
      <c r="J15" s="10" t="str">
        <f>IFERROR(VLOOKUP(A15,'#level_value'!$A$2:$H$9999,3,FALSE),"")</f>
        <v>Power</v>
      </c>
      <c r="K15" s="10" t="str">
        <f>IFERROR(VLOOKUP(A15,'#level_value'!$A$2:$H$9999,4,FALSE),"")</f>
        <v>FirstPitch</v>
      </c>
      <c r="L15" s="10" t="str">
        <f>IFERROR(VLOOKUP(A15,'#level_value'!$A$2:$H$9999,7,FALSE),"")</f>
        <v>[0,0,0,0,0]</v>
      </c>
      <c r="M15" s="10" t="str">
        <f>IFERROR(VLOOKUP(A15,'#level_value'!$A$2:$H$9999,8,FALSE),"")</f>
        <v>[10,16,22,34,50]</v>
      </c>
      <c r="N15" s="10" t="str">
        <f>IFERROR(VLOOKUP(B15,'#level_value'!$A$2:$H$9999,3,FALSE),"")</f>
        <v>Contact</v>
      </c>
      <c r="O15" s="10" t="str">
        <f>IFERROR(VLOOKUP(B15,'#level_value'!$A$2:$H$9999,4,FALSE),"")</f>
        <v>MainActivated</v>
      </c>
      <c r="P15" s="10" t="str">
        <f>IFERROR(VLOOKUP(B15,'#level_value'!$A$2:$H$9999,7,FALSE),"")</f>
        <v>[0,0,0,0,0]</v>
      </c>
      <c r="Q15" s="10" t="str">
        <f>IFERROR(VLOOKUP(B15,'#level_value'!$A$2:$H$9999,8,FALSE),"")</f>
        <v>[5,8,11,18,25]</v>
      </c>
      <c r="R15" s="10" t="str">
        <f>IFERROR(VLOOKUP(C15,'#level_value'!$A$2:$H$9999,3,FALSE),"")</f>
        <v/>
      </c>
      <c r="S15" s="10" t="str">
        <f>IFERROR(VLOOKUP(C15,'#level_value'!$A$2:$H$9999,4,FALSE),"")</f>
        <v/>
      </c>
      <c r="T15" s="10" t="str">
        <f>IFERROR(VLOOKUP(C15,'#level_value'!$A$2:$H$9999,7,FALSE),"")</f>
        <v/>
      </c>
      <c r="U15" s="10" t="str">
        <f>IFERROR(VLOOKUP(C15,'#level_value'!$A$2:$H$9999,8,FALSE),"")</f>
        <v/>
      </c>
    </row>
    <row r="16" ht="16.5" customHeight="1">
      <c r="A16" s="11">
        <f t="shared" si="5"/>
        <v>10015</v>
      </c>
      <c r="B16" s="6">
        <f t="shared" ref="B16:C16" si="18">A16+10000</f>
        <v>20015</v>
      </c>
      <c r="C16" s="6">
        <f t="shared" si="18"/>
        <v>30015</v>
      </c>
      <c r="D16" s="7" t="str">
        <f t="shared" si="3"/>
        <v>SkillName.10015</v>
      </c>
      <c r="E16" s="8" t="s">
        <v>52</v>
      </c>
      <c r="F16" s="7" t="str">
        <f t="shared" si="4"/>
        <v>SkillDesc.10015</v>
      </c>
      <c r="G16" s="8" t="s">
        <v>53</v>
      </c>
      <c r="H16" s="8" t="s">
        <v>54</v>
      </c>
      <c r="I16" s="9" t="s">
        <v>24</v>
      </c>
      <c r="J16" s="10" t="str">
        <f>IFERROR(VLOOKUP(A16,'#level_value'!$A$2:$H$9999,3,FALSE),"")</f>
        <v>HittingSpeed</v>
      </c>
      <c r="K16" s="10" t="str">
        <f>IFERROR(VLOOKUP(A16,'#level_value'!$A$2:$H$9999,4,FALSE),"")</f>
        <v>BreakballHit</v>
      </c>
      <c r="L16" s="10" t="str">
        <f>IFERROR(VLOOKUP(A16,'#level_value'!$A$2:$H$9999,7,FALSE),"")</f>
        <v>[0,0,0,0,0]</v>
      </c>
      <c r="M16" s="10" t="str">
        <f>IFERROR(VLOOKUP(A16,'#level_value'!$A$2:$H$9999,8,FALSE),"")</f>
        <v>[30000,50000,70000,100000,150000]</v>
      </c>
      <c r="N16" s="10" t="str">
        <f>IFERROR(VLOOKUP(B16,'#level_value'!$A$2:$H$9999,3,FALSE),"")</f>
        <v/>
      </c>
      <c r="O16" s="10" t="str">
        <f>IFERROR(VLOOKUP(B16,'#level_value'!$A$2:$H$9999,4,FALSE),"")</f>
        <v/>
      </c>
      <c r="P16" s="10" t="str">
        <f>IFERROR(VLOOKUP(B16,'#level_value'!$A$2:$H$9999,7,FALSE),"")</f>
        <v/>
      </c>
      <c r="Q16" s="10" t="str">
        <f>IFERROR(VLOOKUP(B16,'#level_value'!$A$2:$H$9999,8,FALSE),"")</f>
        <v/>
      </c>
      <c r="R16" s="10" t="str">
        <f>IFERROR(VLOOKUP(C16,'#level_value'!$A$2:$H$9999,3,FALSE),"")</f>
        <v/>
      </c>
      <c r="S16" s="10" t="str">
        <f>IFERROR(VLOOKUP(C16,'#level_value'!$A$2:$H$9999,4,FALSE),"")</f>
        <v/>
      </c>
      <c r="T16" s="10" t="str">
        <f>IFERROR(VLOOKUP(C16,'#level_value'!$A$2:$H$9999,7,FALSE),"")</f>
        <v/>
      </c>
      <c r="U16" s="10" t="str">
        <f>IFERROR(VLOOKUP(C16,'#level_value'!$A$2:$H$9999,8,FALSE),"")</f>
        <v/>
      </c>
    </row>
    <row r="17" ht="16.5" customHeight="1">
      <c r="A17" s="11">
        <f t="shared" si="5"/>
        <v>10016</v>
      </c>
      <c r="B17" s="6">
        <f t="shared" ref="B17:C17" si="19">A17+10000</f>
        <v>20016</v>
      </c>
      <c r="C17" s="6">
        <f t="shared" si="19"/>
        <v>30016</v>
      </c>
      <c r="D17" s="7" t="str">
        <f t="shared" si="3"/>
        <v>SkillName.10016</v>
      </c>
      <c r="E17" s="8" t="s">
        <v>55</v>
      </c>
      <c r="F17" s="7" t="str">
        <f t="shared" si="4"/>
        <v>SkillDesc.10016</v>
      </c>
      <c r="G17" s="8" t="s">
        <v>56</v>
      </c>
      <c r="H17" s="8"/>
      <c r="I17" s="9" t="s">
        <v>24</v>
      </c>
      <c r="J17" s="10" t="str">
        <f>IFERROR(VLOOKUP(A17,'#level_value'!$A$2:$H$9999,3,FALSE),"")</f>
        <v>HittingSpeed</v>
      </c>
      <c r="K17" s="10" t="str">
        <f>IFERROR(VLOOKUP(A17,'#level_value'!$A$2:$H$9999,4,FALSE),"")</f>
        <v>BreakballHit</v>
      </c>
      <c r="L17" s="10" t="str">
        <f>IFERROR(VLOOKUP(A17,'#level_value'!$A$2:$H$9999,7,FALSE),"")</f>
        <v>[0,0,0,0,0]</v>
      </c>
      <c r="M17" s="10" t="str">
        <f>IFERROR(VLOOKUP(A17,'#level_value'!$A$2:$H$9999,8,FALSE),"")</f>
        <v>[30000,50000,70000,100000,150000]</v>
      </c>
      <c r="N17" s="10" t="str">
        <f>IFERROR(VLOOKUP(B17,'#level_value'!$A$2:$H$9999,3,FALSE),"")</f>
        <v>CheckSwing</v>
      </c>
      <c r="O17" s="10" t="str">
        <f>IFERROR(VLOOKUP(B17,'#level_value'!$A$2:$H$9999,4,FALSE),"")</f>
        <v>NoCondition</v>
      </c>
      <c r="P17" s="10" t="str">
        <f>IFERROR(VLOOKUP(B17,'#level_value'!$A$2:$H$9999,7,FALSE),"")</f>
        <v>[0,0,0,0,0]</v>
      </c>
      <c r="Q17" s="10" t="str">
        <f>IFERROR(VLOOKUP(B17,'#level_value'!$A$2:$H$9999,8,FALSE),"")</f>
        <v>[30000,50000,70000,100000,150000]</v>
      </c>
      <c r="R17" s="10" t="str">
        <f>IFERROR(VLOOKUP(C17,'#level_value'!$A$2:$H$9999,3,FALSE),"")</f>
        <v/>
      </c>
      <c r="S17" s="10" t="str">
        <f>IFERROR(VLOOKUP(C17,'#level_value'!$A$2:$H$9999,4,FALSE),"")</f>
        <v/>
      </c>
      <c r="T17" s="10" t="str">
        <f>IFERROR(VLOOKUP(C17,'#level_value'!$A$2:$H$9999,7,FALSE),"")</f>
        <v/>
      </c>
      <c r="U17" s="10" t="str">
        <f>IFERROR(VLOOKUP(C17,'#level_value'!$A$2:$H$9999,8,FALSE),"")</f>
        <v/>
      </c>
    </row>
    <row r="18" ht="16.5" customHeight="1">
      <c r="A18" s="11">
        <f t="shared" si="5"/>
        <v>10017</v>
      </c>
      <c r="B18" s="6">
        <f t="shared" ref="B18:C18" si="20">A18+10000</f>
        <v>20017</v>
      </c>
      <c r="C18" s="6">
        <f t="shared" si="20"/>
        <v>30017</v>
      </c>
      <c r="D18" s="7" t="str">
        <f t="shared" si="3"/>
        <v>SkillName.10017</v>
      </c>
      <c r="E18" s="8" t="s">
        <v>57</v>
      </c>
      <c r="F18" s="7" t="str">
        <f t="shared" si="4"/>
        <v>SkillDesc.10017</v>
      </c>
      <c r="G18" s="8" t="s">
        <v>58</v>
      </c>
      <c r="H18" s="8" t="s">
        <v>59</v>
      </c>
      <c r="I18" s="9" t="s">
        <v>24</v>
      </c>
      <c r="J18" s="10" t="str">
        <f>IFERROR(VLOOKUP(A18,'#level_value'!$A$2:$H$9999,3,FALSE),"")</f>
        <v>HittingSpeed</v>
      </c>
      <c r="K18" s="10" t="str">
        <f>IFERROR(VLOOKUP(A18,'#level_value'!$A$2:$H$9999,4,FALSE),"")</f>
        <v>FastballHit</v>
      </c>
      <c r="L18" s="10" t="str">
        <f>IFERROR(VLOOKUP(A18,'#level_value'!$A$2:$H$9999,7,FALSE),"")</f>
        <v>[0,0,0,0,0]</v>
      </c>
      <c r="M18" s="10" t="str">
        <f>IFERROR(VLOOKUP(A18,'#level_value'!$A$2:$H$9999,8,FALSE),"")</f>
        <v>[30000,50000,70000,100000,150000]</v>
      </c>
      <c r="N18" s="10" t="str">
        <f>IFERROR(VLOOKUP(B18,'#level_value'!$A$2:$H$9999,3,FALSE),"")</f>
        <v/>
      </c>
      <c r="O18" s="10" t="str">
        <f>IFERROR(VLOOKUP(B18,'#level_value'!$A$2:$H$9999,4,FALSE),"")</f>
        <v/>
      </c>
      <c r="P18" s="10" t="str">
        <f>IFERROR(VLOOKUP(B18,'#level_value'!$A$2:$H$9999,7,FALSE),"")</f>
        <v/>
      </c>
      <c r="Q18" s="10" t="str">
        <f>IFERROR(VLOOKUP(B18,'#level_value'!$A$2:$H$9999,8,FALSE),"")</f>
        <v/>
      </c>
      <c r="R18" s="10" t="str">
        <f>IFERROR(VLOOKUP(C18,'#level_value'!$A$2:$H$9999,3,FALSE),"")</f>
        <v/>
      </c>
      <c r="S18" s="10" t="str">
        <f>IFERROR(VLOOKUP(C18,'#level_value'!$A$2:$H$9999,4,FALSE),"")</f>
        <v/>
      </c>
      <c r="T18" s="10" t="str">
        <f>IFERROR(VLOOKUP(C18,'#level_value'!$A$2:$H$9999,7,FALSE),"")</f>
        <v/>
      </c>
      <c r="U18" s="10" t="str">
        <f>IFERROR(VLOOKUP(C18,'#level_value'!$A$2:$H$9999,8,FALSE),"")</f>
        <v/>
      </c>
    </row>
    <row r="19" ht="16.5" customHeight="1">
      <c r="A19" s="11">
        <f t="shared" si="5"/>
        <v>10018</v>
      </c>
      <c r="B19" s="6">
        <f t="shared" ref="B19:C19" si="21">A19+10000</f>
        <v>20018</v>
      </c>
      <c r="C19" s="6">
        <f t="shared" si="21"/>
        <v>30018</v>
      </c>
      <c r="D19" s="7" t="str">
        <f t="shared" si="3"/>
        <v>SkillName.10018</v>
      </c>
      <c r="E19" s="8" t="s">
        <v>60</v>
      </c>
      <c r="F19" s="7" t="str">
        <f t="shared" si="4"/>
        <v>SkillDesc.10018</v>
      </c>
      <c r="G19" s="8" t="s">
        <v>61</v>
      </c>
      <c r="H19" s="8"/>
      <c r="I19" s="9" t="s">
        <v>24</v>
      </c>
      <c r="J19" s="10" t="str">
        <f>IFERROR(VLOOKUP(A19,'#level_value'!$A$2:$H$9999,3,FALSE),"")</f>
        <v>HittingSpeed</v>
      </c>
      <c r="K19" s="10" t="str">
        <f>IFERROR(VLOOKUP(A19,'#level_value'!$A$2:$H$9999,4,FALSE),"")</f>
        <v>FastballHit</v>
      </c>
      <c r="L19" s="10" t="str">
        <f>IFERROR(VLOOKUP(A19,'#level_value'!$A$2:$H$9999,7,FALSE),"")</f>
        <v>[0,0,0,0,0]</v>
      </c>
      <c r="M19" s="10" t="str">
        <f>IFERROR(VLOOKUP(A19,'#level_value'!$A$2:$H$9999,8,FALSE),"")</f>
        <v>[30000,50000,70000,100000,150000]</v>
      </c>
      <c r="N19" s="10" t="str">
        <f>IFERROR(VLOOKUP(B19,'#level_value'!$A$2:$H$9999,3,FALSE),"")</f>
        <v>CheckSwing</v>
      </c>
      <c r="O19" s="10" t="str">
        <f>IFERROR(VLOOKUP(B19,'#level_value'!$A$2:$H$9999,4,FALSE),"")</f>
        <v>NoCondition</v>
      </c>
      <c r="P19" s="10" t="str">
        <f>IFERROR(VLOOKUP(B19,'#level_value'!$A$2:$H$9999,7,FALSE),"")</f>
        <v>[0,0,0,0,0]</v>
      </c>
      <c r="Q19" s="10" t="str">
        <f>IFERROR(VLOOKUP(B19,'#level_value'!$A$2:$H$9999,8,FALSE),"")</f>
        <v>[30000,50000,70000,100000,150000]</v>
      </c>
      <c r="R19" s="10" t="str">
        <f>IFERROR(VLOOKUP(C19,'#level_value'!$A$2:$H$9999,3,FALSE),"")</f>
        <v/>
      </c>
      <c r="S19" s="10" t="str">
        <f>IFERROR(VLOOKUP(C19,'#level_value'!$A$2:$H$9999,4,FALSE),"")</f>
        <v/>
      </c>
      <c r="T19" s="10" t="str">
        <f>IFERROR(VLOOKUP(C19,'#level_value'!$A$2:$H$9999,7,FALSE),"")</f>
        <v/>
      </c>
      <c r="U19" s="10" t="str">
        <f>IFERROR(VLOOKUP(C19,'#level_value'!$A$2:$H$9999,8,FALSE),"")</f>
        <v/>
      </c>
    </row>
    <row r="20" ht="16.5" customHeight="1">
      <c r="A20" s="11">
        <f t="shared" si="5"/>
        <v>10019</v>
      </c>
      <c r="B20" s="6">
        <f t="shared" ref="B20:C20" si="22">A20+10000</f>
        <v>20019</v>
      </c>
      <c r="C20" s="6">
        <f t="shared" si="22"/>
        <v>30019</v>
      </c>
      <c r="D20" s="7" t="str">
        <f t="shared" si="3"/>
        <v>SkillName.10019</v>
      </c>
      <c r="E20" s="8" t="s">
        <v>62</v>
      </c>
      <c r="F20" s="7" t="str">
        <f t="shared" si="4"/>
        <v>SkillDesc.10019</v>
      </c>
      <c r="G20" s="8" t="s">
        <v>63</v>
      </c>
      <c r="H20" s="8"/>
      <c r="I20" s="9" t="s">
        <v>24</v>
      </c>
      <c r="J20" s="10" t="str">
        <f>IFERROR(VLOOKUP(A20,'#level_value'!$A$2:$H$9999,3,FALSE),"")</f>
        <v>HittingSpeed</v>
      </c>
      <c r="K20" s="10" t="str">
        <f>IFERROR(VLOOKUP(A20,'#level_value'!$A$2:$H$9999,4,FALSE),"")</f>
        <v>LinedriveHit</v>
      </c>
      <c r="L20" s="10" t="str">
        <f>IFERROR(VLOOKUP(A20,'#level_value'!$A$2:$H$9999,7,FALSE),"")</f>
        <v>[0,0,0,0,0]</v>
      </c>
      <c r="M20" s="10" t="str">
        <f>IFERROR(VLOOKUP(A20,'#level_value'!$A$2:$H$9999,8,FALSE),"")</f>
        <v>[30000,50000,70000,100000,150000]</v>
      </c>
      <c r="N20" s="10" t="str">
        <f>IFERROR(VLOOKUP(B20,'#level_value'!$A$2:$H$9999,3,FALSE),"")</f>
        <v/>
      </c>
      <c r="O20" s="10" t="str">
        <f>IFERROR(VLOOKUP(B20,'#level_value'!$A$2:$H$9999,4,FALSE),"")</f>
        <v/>
      </c>
      <c r="P20" s="10" t="str">
        <f>IFERROR(VLOOKUP(B20,'#level_value'!$A$2:$H$9999,7,FALSE),"")</f>
        <v/>
      </c>
      <c r="Q20" s="10" t="str">
        <f>IFERROR(VLOOKUP(B20,'#level_value'!$A$2:$H$9999,8,FALSE),"")</f>
        <v/>
      </c>
      <c r="R20" s="10" t="str">
        <f>IFERROR(VLOOKUP(C20,'#level_value'!$A$2:$H$9999,3,FALSE),"")</f>
        <v/>
      </c>
      <c r="S20" s="10" t="str">
        <f>IFERROR(VLOOKUP(C20,'#level_value'!$A$2:$H$9999,4,FALSE),"")</f>
        <v/>
      </c>
      <c r="T20" s="10" t="str">
        <f>IFERROR(VLOOKUP(C20,'#level_value'!$A$2:$H$9999,7,FALSE),"")</f>
        <v/>
      </c>
      <c r="U20" s="10" t="str">
        <f>IFERROR(VLOOKUP(C20,'#level_value'!$A$2:$H$9999,8,FALSE),"")</f>
        <v/>
      </c>
    </row>
    <row r="21" ht="16.5" customHeight="1">
      <c r="A21" s="11">
        <f t="shared" si="5"/>
        <v>10020</v>
      </c>
      <c r="B21" s="6">
        <f t="shared" ref="B21:C21" si="23">A21+10000</f>
        <v>20020</v>
      </c>
      <c r="C21" s="6">
        <f t="shared" si="23"/>
        <v>30020</v>
      </c>
      <c r="D21" s="7" t="str">
        <f t="shared" si="3"/>
        <v>SkillName.10020</v>
      </c>
      <c r="E21" s="8" t="s">
        <v>64</v>
      </c>
      <c r="F21" s="7" t="str">
        <f t="shared" si="4"/>
        <v>SkillDesc.10020</v>
      </c>
      <c r="G21" s="8" t="s">
        <v>65</v>
      </c>
      <c r="H21" s="8"/>
      <c r="I21" s="9" t="s">
        <v>24</v>
      </c>
      <c r="J21" s="10" t="str">
        <f>IFERROR(VLOOKUP(A21,'#level_value'!$A$2:$H$9999,3,FALSE),"")</f>
        <v>HittingSpeed</v>
      </c>
      <c r="K21" s="10" t="str">
        <f>IFERROR(VLOOKUP(A21,'#level_value'!$A$2:$H$9999,4,FALSE),"")</f>
        <v>FlyHit</v>
      </c>
      <c r="L21" s="10" t="str">
        <f>IFERROR(VLOOKUP(A21,'#level_value'!$A$2:$H$9999,7,FALSE),"")</f>
        <v>[0,0,0,0,0]</v>
      </c>
      <c r="M21" s="10" t="str">
        <f>IFERROR(VLOOKUP(A21,'#level_value'!$A$2:$H$9999,8,FALSE),"")</f>
        <v>[30000,50000,70000,100000,150000]</v>
      </c>
      <c r="N21" s="10" t="str">
        <f>IFERROR(VLOOKUP(B21,'#level_value'!$A$2:$H$9999,3,FALSE),"")</f>
        <v/>
      </c>
      <c r="O21" s="10" t="str">
        <f>IFERROR(VLOOKUP(B21,'#level_value'!$A$2:$H$9999,4,FALSE),"")</f>
        <v/>
      </c>
      <c r="P21" s="10" t="str">
        <f>IFERROR(VLOOKUP(B21,'#level_value'!$A$2:$H$9999,7,FALSE),"")</f>
        <v/>
      </c>
      <c r="Q21" s="10" t="str">
        <f>IFERROR(VLOOKUP(B21,'#level_value'!$A$2:$H$9999,8,FALSE),"")</f>
        <v/>
      </c>
      <c r="R21" s="10" t="str">
        <f>IFERROR(VLOOKUP(C21,'#level_value'!$A$2:$H$9999,3,FALSE),"")</f>
        <v/>
      </c>
      <c r="S21" s="10" t="str">
        <f>IFERROR(VLOOKUP(C21,'#level_value'!$A$2:$H$9999,4,FALSE),"")</f>
        <v/>
      </c>
      <c r="T21" s="10" t="str">
        <f>IFERROR(VLOOKUP(C21,'#level_value'!$A$2:$H$9999,7,FALSE),"")</f>
        <v/>
      </c>
      <c r="U21" s="10" t="str">
        <f>IFERROR(VLOOKUP(C21,'#level_value'!$A$2:$H$9999,8,FALSE),"")</f>
        <v/>
      </c>
    </row>
    <row r="22" ht="16.5" customHeight="1">
      <c r="A22" s="11">
        <f t="shared" si="5"/>
        <v>10021</v>
      </c>
      <c r="B22" s="6">
        <f t="shared" ref="B22:C22" si="24">A22+10000</f>
        <v>20021</v>
      </c>
      <c r="C22" s="6">
        <f t="shared" si="24"/>
        <v>30021</v>
      </c>
      <c r="D22" s="7" t="str">
        <f t="shared" si="3"/>
        <v>SkillName.10021</v>
      </c>
      <c r="E22" s="8" t="s">
        <v>66</v>
      </c>
      <c r="F22" s="7" t="str">
        <f t="shared" si="4"/>
        <v>SkillDesc.10021</v>
      </c>
      <c r="G22" s="8" t="s">
        <v>67</v>
      </c>
      <c r="H22" s="8"/>
      <c r="I22" s="9" t="s">
        <v>24</v>
      </c>
      <c r="J22" s="10" t="str">
        <f>IFERROR(VLOOKUP(A22,'#level_value'!$A$2:$H$9999,3,FALSE),"")</f>
        <v>HittingSpeed</v>
      </c>
      <c r="K22" s="10" t="str">
        <f>IFERROR(VLOOKUP(A22,'#level_value'!$A$2:$H$9999,4,FALSE),"")</f>
        <v>RunAndHit</v>
      </c>
      <c r="L22" s="10" t="str">
        <f>IFERROR(VLOOKUP(A22,'#level_value'!$A$2:$H$9999,7,FALSE),"")</f>
        <v>[0,0,0,0,0]</v>
      </c>
      <c r="M22" s="10" t="str">
        <f>IFERROR(VLOOKUP(A22,'#level_value'!$A$2:$H$9999,8,FALSE),"")</f>
        <v>[30000,50000,70000,100000,150000]</v>
      </c>
      <c r="N22" s="10" t="str">
        <f>IFERROR(VLOOKUP(B22,'#level_value'!$A$2:$H$9999,3,FALSE),"")</f>
        <v/>
      </c>
      <c r="O22" s="10" t="str">
        <f>IFERROR(VLOOKUP(B22,'#level_value'!$A$2:$H$9999,4,FALSE),"")</f>
        <v/>
      </c>
      <c r="P22" s="10" t="str">
        <f>IFERROR(VLOOKUP(B22,'#level_value'!$A$2:$H$9999,7,FALSE),"")</f>
        <v/>
      </c>
      <c r="Q22" s="10" t="str">
        <f>IFERROR(VLOOKUP(B22,'#level_value'!$A$2:$H$9999,8,FALSE),"")</f>
        <v/>
      </c>
      <c r="R22" s="10" t="str">
        <f>IFERROR(VLOOKUP(C22,'#level_value'!$A$2:$H$9999,3,FALSE),"")</f>
        <v/>
      </c>
      <c r="S22" s="10" t="str">
        <f>IFERROR(VLOOKUP(C22,'#level_value'!$A$2:$H$9999,4,FALSE),"")</f>
        <v/>
      </c>
      <c r="T22" s="10" t="str">
        <f>IFERROR(VLOOKUP(C22,'#level_value'!$A$2:$H$9999,7,FALSE),"")</f>
        <v/>
      </c>
      <c r="U22" s="10" t="str">
        <f>IFERROR(VLOOKUP(C22,'#level_value'!$A$2:$H$9999,8,FALSE),"")</f>
        <v/>
      </c>
    </row>
    <row r="23" ht="16.5" customHeight="1">
      <c r="A23" s="11">
        <f t="shared" si="5"/>
        <v>10022</v>
      </c>
      <c r="B23" s="6">
        <f t="shared" ref="B23:C23" si="25">A23+10000</f>
        <v>20022</v>
      </c>
      <c r="C23" s="6">
        <f t="shared" si="25"/>
        <v>30022</v>
      </c>
      <c r="D23" s="7" t="str">
        <f t="shared" si="3"/>
        <v>SkillName.10022</v>
      </c>
      <c r="E23" s="8" t="s">
        <v>68</v>
      </c>
      <c r="F23" s="7" t="str">
        <f t="shared" si="4"/>
        <v>SkillDesc.10022</v>
      </c>
      <c r="G23" s="8" t="s">
        <v>69</v>
      </c>
      <c r="H23" s="8"/>
      <c r="I23" s="9" t="s">
        <v>24</v>
      </c>
      <c r="J23" s="10" t="str">
        <f>IFERROR(VLOOKUP(A23,'#level_value'!$A$2:$H$9999,3,FALSE),"")</f>
        <v>Contact</v>
      </c>
      <c r="K23" s="10" t="str">
        <f>IFERROR(VLOOKUP(A23,'#level_value'!$A$2:$H$9999,4,FALSE),"")</f>
        <v>HomeMatch</v>
      </c>
      <c r="L23" s="10" t="str">
        <f>IFERROR(VLOOKUP(A23,'#level_value'!$A$2:$H$9999,7,FALSE),"")</f>
        <v>[0,0,0,0,0]</v>
      </c>
      <c r="M23" s="10" t="str">
        <f>IFERROR(VLOOKUP(A23,'#level_value'!$A$2:$H$9999,8,FALSE),"")</f>
        <v>[5,8,14,20,30]</v>
      </c>
      <c r="N23" s="10" t="str">
        <f>IFERROR(VLOOKUP(B23,'#level_value'!$A$2:$H$9999,3,FALSE),"")</f>
        <v/>
      </c>
      <c r="O23" s="10" t="str">
        <f>IFERROR(VLOOKUP(B23,'#level_value'!$A$2:$H$9999,4,FALSE),"")</f>
        <v/>
      </c>
      <c r="P23" s="10" t="str">
        <f>IFERROR(VLOOKUP(B23,'#level_value'!$A$2:$H$9999,7,FALSE),"")</f>
        <v/>
      </c>
      <c r="Q23" s="10" t="str">
        <f>IFERROR(VLOOKUP(B23,'#level_value'!$A$2:$H$9999,8,FALSE),"")</f>
        <v/>
      </c>
      <c r="R23" s="10" t="str">
        <f>IFERROR(VLOOKUP(C23,'#level_value'!$A$2:$H$9999,3,FALSE),"")</f>
        <v/>
      </c>
      <c r="S23" s="10" t="str">
        <f>IFERROR(VLOOKUP(C23,'#level_value'!$A$2:$H$9999,4,FALSE),"")</f>
        <v/>
      </c>
      <c r="T23" s="10" t="str">
        <f>IFERROR(VLOOKUP(C23,'#level_value'!$A$2:$H$9999,7,FALSE),"")</f>
        <v/>
      </c>
      <c r="U23" s="10" t="str">
        <f>IFERROR(VLOOKUP(C23,'#level_value'!$A$2:$H$9999,8,FALSE),"")</f>
        <v/>
      </c>
    </row>
    <row r="24" ht="16.5" customHeight="1">
      <c r="A24" s="11">
        <f t="shared" si="5"/>
        <v>10023</v>
      </c>
      <c r="B24" s="6">
        <f t="shared" ref="B24:C24" si="26">A24+10000</f>
        <v>20023</v>
      </c>
      <c r="C24" s="6">
        <f t="shared" si="26"/>
        <v>30023</v>
      </c>
      <c r="D24" s="7" t="str">
        <f t="shared" si="3"/>
        <v>SkillName.10023</v>
      </c>
      <c r="E24" s="8" t="s">
        <v>70</v>
      </c>
      <c r="F24" s="7" t="str">
        <f t="shared" si="4"/>
        <v>SkillDesc.10023</v>
      </c>
      <c r="G24" s="8" t="s">
        <v>71</v>
      </c>
      <c r="H24" s="8"/>
      <c r="I24" s="9" t="s">
        <v>24</v>
      </c>
      <c r="J24" s="10" t="str">
        <f>IFERROR(VLOOKUP(A24,'#level_value'!$A$2:$H$9999,3,FALSE),"")</f>
        <v>Power</v>
      </c>
      <c r="K24" s="10" t="str">
        <f>IFERROR(VLOOKUP(A24,'#level_value'!$A$2:$H$9999,4,FALSE),"")</f>
        <v>AwayMatch</v>
      </c>
      <c r="L24" s="10" t="str">
        <f>IFERROR(VLOOKUP(A24,'#level_value'!$A$2:$H$9999,7,FALSE),"")</f>
        <v>[0,0,0,0,0]</v>
      </c>
      <c r="M24" s="10" t="str">
        <f>IFERROR(VLOOKUP(A24,'#level_value'!$A$2:$H$9999,8,FALSE),"")</f>
        <v>[5,8,14,20,30]</v>
      </c>
      <c r="N24" s="10" t="str">
        <f>IFERROR(VLOOKUP(B24,'#level_value'!$A$2:$H$9999,3,FALSE),"")</f>
        <v/>
      </c>
      <c r="O24" s="10" t="str">
        <f>IFERROR(VLOOKUP(B24,'#level_value'!$A$2:$H$9999,4,FALSE),"")</f>
        <v/>
      </c>
      <c r="P24" s="10" t="str">
        <f>IFERROR(VLOOKUP(B24,'#level_value'!$A$2:$H$9999,7,FALSE),"")</f>
        <v/>
      </c>
      <c r="Q24" s="10" t="str">
        <f>IFERROR(VLOOKUP(B24,'#level_value'!$A$2:$H$9999,8,FALSE),"")</f>
        <v/>
      </c>
      <c r="R24" s="10" t="str">
        <f>IFERROR(VLOOKUP(C24,'#level_value'!$A$2:$H$9999,3,FALSE),"")</f>
        <v/>
      </c>
      <c r="S24" s="10" t="str">
        <f>IFERROR(VLOOKUP(C24,'#level_value'!$A$2:$H$9999,4,FALSE),"")</f>
        <v/>
      </c>
      <c r="T24" s="10" t="str">
        <f>IFERROR(VLOOKUP(C24,'#level_value'!$A$2:$H$9999,7,FALSE),"")</f>
        <v/>
      </c>
      <c r="U24" s="10" t="str">
        <f>IFERROR(VLOOKUP(C24,'#level_value'!$A$2:$H$9999,8,FALSE),"")</f>
        <v/>
      </c>
    </row>
    <row r="25" ht="16.5" customHeight="1">
      <c r="A25" s="11">
        <f t="shared" si="5"/>
        <v>10024</v>
      </c>
      <c r="B25" s="6">
        <f t="shared" ref="B25:C25" si="27">A25+10000</f>
        <v>20024</v>
      </c>
      <c r="C25" s="6">
        <f t="shared" si="27"/>
        <v>30024</v>
      </c>
      <c r="D25" s="7" t="str">
        <f t="shared" si="3"/>
        <v>SkillName.10024</v>
      </c>
      <c r="E25" s="8" t="s">
        <v>72</v>
      </c>
      <c r="F25" s="7" t="str">
        <f t="shared" si="4"/>
        <v>SkillDesc.10024</v>
      </c>
      <c r="G25" s="8" t="s">
        <v>73</v>
      </c>
      <c r="H25" s="8"/>
      <c r="I25" s="9" t="s">
        <v>24</v>
      </c>
      <c r="J25" s="10" t="str">
        <f>IFERROR(VLOOKUP(A25,'#level_value'!$A$2:$H$9999,3,FALSE),"")</f>
        <v>Vision</v>
      </c>
      <c r="K25" s="10" t="str">
        <f>IFERROR(VLOOKUP(A25,'#level_value'!$A$2:$H$9999,4,FALSE),"")</f>
        <v>DayMatch</v>
      </c>
      <c r="L25" s="10" t="str">
        <f>IFERROR(VLOOKUP(A25,'#level_value'!$A$2:$H$9999,7,FALSE),"")</f>
        <v>[0,0,0,0,0]</v>
      </c>
      <c r="M25" s="10" t="str">
        <f>IFERROR(VLOOKUP(A25,'#level_value'!$A$2:$H$9999,8,FALSE),"")</f>
        <v>[3,4,7,10,15]</v>
      </c>
      <c r="N25" s="10" t="str">
        <f>IFERROR(VLOOKUP(B25,'#level_value'!$A$2:$H$9999,3,FALSE),"")</f>
        <v>Power</v>
      </c>
      <c r="O25" s="10" t="str">
        <f>IFERROR(VLOOKUP(B25,'#level_value'!$A$2:$H$9999,4,FALSE),"")</f>
        <v>MainActivated</v>
      </c>
      <c r="P25" s="10" t="str">
        <f>IFERROR(VLOOKUP(B25,'#level_value'!$A$2:$H$9999,7,FALSE),"")</f>
        <v>[0,0,0,0,0]</v>
      </c>
      <c r="Q25" s="10" t="str">
        <f>IFERROR(VLOOKUP(B25,'#level_value'!$A$2:$H$9999,8,FALSE),"")</f>
        <v>[3,4,7,10,15]</v>
      </c>
      <c r="R25" s="10" t="str">
        <f>IFERROR(VLOOKUP(C25,'#level_value'!$A$2:$H$9999,3,FALSE),"")</f>
        <v/>
      </c>
      <c r="S25" s="10" t="str">
        <f>IFERROR(VLOOKUP(C25,'#level_value'!$A$2:$H$9999,4,FALSE),"")</f>
        <v/>
      </c>
      <c r="T25" s="10" t="str">
        <f>IFERROR(VLOOKUP(C25,'#level_value'!$A$2:$H$9999,7,FALSE),"")</f>
        <v/>
      </c>
      <c r="U25" s="10" t="str">
        <f>IFERROR(VLOOKUP(C25,'#level_value'!$A$2:$H$9999,8,FALSE),"")</f>
        <v/>
      </c>
    </row>
    <row r="26" ht="16.5" customHeight="1">
      <c r="A26" s="11">
        <f t="shared" si="5"/>
        <v>10025</v>
      </c>
      <c r="B26" s="6">
        <f t="shared" ref="B26:C26" si="28">A26+10000</f>
        <v>20025</v>
      </c>
      <c r="C26" s="6">
        <f t="shared" si="28"/>
        <v>30025</v>
      </c>
      <c r="D26" s="7" t="str">
        <f t="shared" si="3"/>
        <v>SkillName.10025</v>
      </c>
      <c r="E26" s="8" t="s">
        <v>74</v>
      </c>
      <c r="F26" s="7" t="str">
        <f t="shared" si="4"/>
        <v>SkillDesc.10025</v>
      </c>
      <c r="G26" s="8" t="s">
        <v>75</v>
      </c>
      <c r="H26" s="8"/>
      <c r="I26" s="9" t="s">
        <v>24</v>
      </c>
      <c r="J26" s="10" t="str">
        <f>IFERROR(VLOOKUP(A26,'#level_value'!$A$2:$H$9999,3,FALSE),"")</f>
        <v>Vision</v>
      </c>
      <c r="K26" s="10" t="str">
        <f>IFERROR(VLOOKUP(A26,'#level_value'!$A$2:$H$9999,4,FALSE),"")</f>
        <v>NightMatch</v>
      </c>
      <c r="L26" s="10" t="str">
        <f>IFERROR(VLOOKUP(A26,'#level_value'!$A$2:$H$9999,7,FALSE),"")</f>
        <v>[0,0,0,0,0]</v>
      </c>
      <c r="M26" s="10" t="str">
        <f>IFERROR(VLOOKUP(A26,'#level_value'!$A$2:$H$9999,8,FALSE),"")</f>
        <v>[3,4,7,10,15]</v>
      </c>
      <c r="N26" s="10" t="str">
        <f>IFERROR(VLOOKUP(B26,'#level_value'!$A$2:$H$9999,3,FALSE),"")</f>
        <v>Contact</v>
      </c>
      <c r="O26" s="10" t="str">
        <f>IFERROR(VLOOKUP(B26,'#level_value'!$A$2:$H$9999,4,FALSE),"")</f>
        <v>MainActivated</v>
      </c>
      <c r="P26" s="10" t="str">
        <f>IFERROR(VLOOKUP(B26,'#level_value'!$A$2:$H$9999,7,FALSE),"")</f>
        <v>[0,0,0,0,0]</v>
      </c>
      <c r="Q26" s="10" t="str">
        <f>IFERROR(VLOOKUP(B26,'#level_value'!$A$2:$H$9999,8,FALSE),"")</f>
        <v>[3,4,7,10,15]</v>
      </c>
      <c r="R26" s="10" t="str">
        <f>IFERROR(VLOOKUP(C26,'#level_value'!$A$2:$H$9999,3,FALSE),"")</f>
        <v/>
      </c>
      <c r="S26" s="10" t="str">
        <f>IFERROR(VLOOKUP(C26,'#level_value'!$A$2:$H$9999,4,FALSE),"")</f>
        <v/>
      </c>
      <c r="T26" s="10" t="str">
        <f>IFERROR(VLOOKUP(C26,'#level_value'!$A$2:$H$9999,7,FALSE),"")</f>
        <v/>
      </c>
      <c r="U26" s="10" t="str">
        <f>IFERROR(VLOOKUP(C26,'#level_value'!$A$2:$H$9999,8,FALSE),"")</f>
        <v/>
      </c>
    </row>
    <row r="27" ht="16.5" customHeight="1">
      <c r="A27" s="11">
        <f t="shared" si="5"/>
        <v>10026</v>
      </c>
      <c r="B27" s="6">
        <f t="shared" ref="B27:C27" si="29">A27+10000</f>
        <v>20026</v>
      </c>
      <c r="C27" s="6">
        <f t="shared" si="29"/>
        <v>30026</v>
      </c>
      <c r="D27" s="7" t="str">
        <f t="shared" si="3"/>
        <v>SkillName.10026</v>
      </c>
      <c r="E27" s="8" t="s">
        <v>76</v>
      </c>
      <c r="F27" s="7" t="str">
        <f t="shared" si="4"/>
        <v>SkillDesc.10026</v>
      </c>
      <c r="G27" s="8" t="s">
        <v>77</v>
      </c>
      <c r="H27" s="8"/>
      <c r="I27" s="9" t="s">
        <v>24</v>
      </c>
      <c r="J27" s="10" t="str">
        <f>IFERROR(VLOOKUP(A27,'#level_value'!$A$2:$H$9999,3,FALSE),"")</f>
        <v>Contact</v>
      </c>
      <c r="K27" s="10" t="str">
        <f>IFERROR(VLOOKUP(A27,'#level_value'!$A$2:$H$9999,4,FALSE),"")</f>
        <v>UnderPitcher</v>
      </c>
      <c r="L27" s="10" t="str">
        <f>IFERROR(VLOOKUP(A27,'#level_value'!$A$2:$H$9999,7,FALSE),"")</f>
        <v>[30,35,40,45,50]</v>
      </c>
      <c r="M27" s="10" t="str">
        <f>IFERROR(VLOOKUP(A27,'#level_value'!$A$2:$H$9999,8,FALSE),"")</f>
        <v>[5,8,14,20,30]</v>
      </c>
      <c r="N27" s="10" t="str">
        <f>IFERROR(VLOOKUP(B27,'#level_value'!$A$2:$H$9999,3,FALSE),"")</f>
        <v/>
      </c>
      <c r="O27" s="10" t="str">
        <f>IFERROR(VLOOKUP(B27,'#level_value'!$A$2:$H$9999,4,FALSE),"")</f>
        <v/>
      </c>
      <c r="P27" s="10" t="str">
        <f>IFERROR(VLOOKUP(B27,'#level_value'!$A$2:$H$9999,7,FALSE),"")</f>
        <v/>
      </c>
      <c r="Q27" s="10" t="str">
        <f>IFERROR(VLOOKUP(B27,'#level_value'!$A$2:$H$9999,8,FALSE),"")</f>
        <v/>
      </c>
      <c r="R27" s="10" t="str">
        <f>IFERROR(VLOOKUP(C27,'#level_value'!$A$2:$H$9999,3,FALSE),"")</f>
        <v/>
      </c>
      <c r="S27" s="10" t="str">
        <f>IFERROR(VLOOKUP(C27,'#level_value'!$A$2:$H$9999,4,FALSE),"")</f>
        <v/>
      </c>
      <c r="T27" s="10" t="str">
        <f>IFERROR(VLOOKUP(C27,'#level_value'!$A$2:$H$9999,7,FALSE),"")</f>
        <v/>
      </c>
      <c r="U27" s="10" t="str">
        <f>IFERROR(VLOOKUP(C27,'#level_value'!$A$2:$H$9999,8,FALSE),"")</f>
        <v/>
      </c>
    </row>
    <row r="28" ht="16.5" customHeight="1">
      <c r="A28" s="11">
        <f t="shared" si="5"/>
        <v>10027</v>
      </c>
      <c r="B28" s="6">
        <f t="shared" ref="B28:C28" si="30">A28+10000</f>
        <v>20027</v>
      </c>
      <c r="C28" s="6">
        <f t="shared" si="30"/>
        <v>30027</v>
      </c>
      <c r="D28" s="7" t="str">
        <f t="shared" si="3"/>
        <v>SkillName.10027</v>
      </c>
      <c r="E28" s="8" t="s">
        <v>78</v>
      </c>
      <c r="F28" s="7" t="str">
        <f t="shared" si="4"/>
        <v>SkillDesc.10027</v>
      </c>
      <c r="G28" s="8" t="s">
        <v>79</v>
      </c>
      <c r="H28" s="8"/>
      <c r="I28" s="9" t="s">
        <v>24</v>
      </c>
      <c r="J28" s="10" t="str">
        <f>IFERROR(VLOOKUP(A28,'#level_value'!$A$2:$H$9999,3,FALSE),"")</f>
        <v>Contact</v>
      </c>
      <c r="K28" s="10" t="str">
        <f>IFERROR(VLOOKUP(A28,'#level_value'!$A$2:$H$9999,4,FALSE),"")</f>
        <v>TwoOut</v>
      </c>
      <c r="L28" s="10" t="str">
        <f>IFERROR(VLOOKUP(A28,'#level_value'!$A$2:$H$9999,7,FALSE),"")</f>
        <v>[30,35,40,45,50]</v>
      </c>
      <c r="M28" s="10" t="str">
        <f>IFERROR(VLOOKUP(A28,'#level_value'!$A$2:$H$9999,8,FALSE),"")</f>
        <v>[5,8,14,20,30]</v>
      </c>
      <c r="N28" s="10" t="str">
        <f>IFERROR(VLOOKUP(B28,'#level_value'!$A$2:$H$9999,3,FALSE),"")</f>
        <v/>
      </c>
      <c r="O28" s="10" t="str">
        <f>IFERROR(VLOOKUP(B28,'#level_value'!$A$2:$H$9999,4,FALSE),"")</f>
        <v/>
      </c>
      <c r="P28" s="10" t="str">
        <f>IFERROR(VLOOKUP(B28,'#level_value'!$A$2:$H$9999,7,FALSE),"")</f>
        <v/>
      </c>
      <c r="Q28" s="10" t="str">
        <f>IFERROR(VLOOKUP(B28,'#level_value'!$A$2:$H$9999,8,FALSE),"")</f>
        <v/>
      </c>
      <c r="R28" s="10" t="str">
        <f>IFERROR(VLOOKUP(C28,'#level_value'!$A$2:$H$9999,3,FALSE),"")</f>
        <v/>
      </c>
      <c r="S28" s="10" t="str">
        <f>IFERROR(VLOOKUP(C28,'#level_value'!$A$2:$H$9999,4,FALSE),"")</f>
        <v/>
      </c>
      <c r="T28" s="10" t="str">
        <f>IFERROR(VLOOKUP(C28,'#level_value'!$A$2:$H$9999,7,FALSE),"")</f>
        <v/>
      </c>
      <c r="U28" s="10" t="str">
        <f>IFERROR(VLOOKUP(C28,'#level_value'!$A$2:$H$9999,8,FALSE),"")</f>
        <v/>
      </c>
    </row>
    <row r="29" ht="16.5" customHeight="1">
      <c r="A29" s="11">
        <f t="shared" si="5"/>
        <v>10028</v>
      </c>
      <c r="B29" s="6">
        <f t="shared" ref="B29:C29" si="31">A29+10000</f>
        <v>20028</v>
      </c>
      <c r="C29" s="6">
        <f t="shared" si="31"/>
        <v>30028</v>
      </c>
      <c r="D29" s="7" t="str">
        <f t="shared" si="3"/>
        <v>SkillName.10028</v>
      </c>
      <c r="E29" s="8" t="s">
        <v>80</v>
      </c>
      <c r="F29" s="7" t="str">
        <f t="shared" si="4"/>
        <v>SkillDesc.10028</v>
      </c>
      <c r="G29" s="8" t="s">
        <v>79</v>
      </c>
      <c r="H29" s="8"/>
      <c r="I29" s="9" t="s">
        <v>24</v>
      </c>
      <c r="J29" s="10" t="str">
        <f>IFERROR(VLOOKUP(A29,'#level_value'!$A$2:$H$9999,3,FALSE),"")</f>
        <v>Contact</v>
      </c>
      <c r="K29" s="10" t="str">
        <f>IFERROR(VLOOKUP(A29,'#level_value'!$A$2:$H$9999,4,FALSE),"")</f>
        <v>TwoOut</v>
      </c>
      <c r="L29" s="10" t="str">
        <f>IFERROR(VLOOKUP(A29,'#level_value'!$A$2:$H$9999,7,FALSE),"")</f>
        <v>[50,55,60,65,70]</v>
      </c>
      <c r="M29" s="10" t="str">
        <f>IFERROR(VLOOKUP(A29,'#level_value'!$A$2:$H$9999,8,FALSE),"")</f>
        <v>[10,16,22,34,50]</v>
      </c>
      <c r="N29" s="10" t="str">
        <f>IFERROR(VLOOKUP(B29,'#level_value'!$A$2:$H$9999,3,FALSE),"")</f>
        <v/>
      </c>
      <c r="O29" s="10" t="str">
        <f>IFERROR(VLOOKUP(B29,'#level_value'!$A$2:$H$9999,4,FALSE),"")</f>
        <v/>
      </c>
      <c r="P29" s="10" t="str">
        <f>IFERROR(VLOOKUP(B29,'#level_value'!$A$2:$H$9999,7,FALSE),"")</f>
        <v/>
      </c>
      <c r="Q29" s="10" t="str">
        <f>IFERROR(VLOOKUP(B29,'#level_value'!$A$2:$H$9999,8,FALSE),"")</f>
        <v/>
      </c>
      <c r="R29" s="10" t="str">
        <f>IFERROR(VLOOKUP(C29,'#level_value'!$A$2:$H$9999,3,FALSE),"")</f>
        <v/>
      </c>
      <c r="S29" s="10" t="str">
        <f>IFERROR(VLOOKUP(C29,'#level_value'!$A$2:$H$9999,4,FALSE),"")</f>
        <v/>
      </c>
      <c r="T29" s="10" t="str">
        <f>IFERROR(VLOOKUP(C29,'#level_value'!$A$2:$H$9999,7,FALSE),"")</f>
        <v/>
      </c>
      <c r="U29" s="10" t="str">
        <f>IFERROR(VLOOKUP(C29,'#level_value'!$A$2:$H$9999,8,FALSE),"")</f>
        <v/>
      </c>
    </row>
    <row r="30" ht="16.5" customHeight="1">
      <c r="A30" s="11">
        <f t="shared" si="5"/>
        <v>10029</v>
      </c>
      <c r="B30" s="6">
        <f t="shared" ref="B30:C30" si="32">A30+10000</f>
        <v>20029</v>
      </c>
      <c r="C30" s="6">
        <f t="shared" si="32"/>
        <v>30029</v>
      </c>
      <c r="D30" s="7" t="str">
        <f t="shared" si="3"/>
        <v>SkillName.10029</v>
      </c>
      <c r="E30" s="8" t="s">
        <v>81</v>
      </c>
      <c r="F30" s="7" t="str">
        <f t="shared" si="4"/>
        <v>SkillDesc.10029</v>
      </c>
      <c r="G30" s="8" t="s">
        <v>82</v>
      </c>
      <c r="H30" s="8"/>
      <c r="I30" s="9" t="s">
        <v>24</v>
      </c>
      <c r="J30" s="10" t="str">
        <f>IFERROR(VLOOKUP(A30,'#level_value'!$A$2:$H$9999,3,FALSE),"")</f>
        <v>Contact</v>
      </c>
      <c r="K30" s="10" t="str">
        <f>IFERROR(VLOOKUP(A30,'#level_value'!$A$2:$H$9999,4,FALSE),"")</f>
        <v>TwoOut</v>
      </c>
      <c r="L30" s="10" t="str">
        <f>IFERROR(VLOOKUP(A30,'#level_value'!$A$2:$H$9999,7,FALSE),"")</f>
        <v>[0,0,0,0,0]</v>
      </c>
      <c r="M30" s="10" t="str">
        <f>IFERROR(VLOOKUP(A30,'#level_value'!$A$2:$H$9999,8,FALSE),"")</f>
        <v>[10,16,22,34,50]</v>
      </c>
      <c r="N30" s="10" t="str">
        <f>IFERROR(VLOOKUP(B30,'#level_value'!$A$2:$H$9999,3,FALSE),"")</f>
        <v>Vision</v>
      </c>
      <c r="O30" s="10" t="str">
        <f>IFERROR(VLOOKUP(B30,'#level_value'!$A$2:$H$9999,4,FALSE),"")</f>
        <v>MainActivated</v>
      </c>
      <c r="P30" s="10" t="str">
        <f>IFERROR(VLOOKUP(B30,'#level_value'!$A$2:$H$9999,7,FALSE),"")</f>
        <v>[0,0,0,0,0]</v>
      </c>
      <c r="Q30" s="10" t="str">
        <f>IFERROR(VLOOKUP(B30,'#level_value'!$A$2:$H$9999,8,FALSE),"")</f>
        <v>[5,8,11,18,25]</v>
      </c>
      <c r="R30" s="10" t="str">
        <f>IFERROR(VLOOKUP(C30,'#level_value'!$A$2:$H$9999,3,FALSE),"")</f>
        <v/>
      </c>
      <c r="S30" s="10" t="str">
        <f>IFERROR(VLOOKUP(C30,'#level_value'!$A$2:$H$9999,4,FALSE),"")</f>
        <v/>
      </c>
      <c r="T30" s="10" t="str">
        <f>IFERROR(VLOOKUP(C30,'#level_value'!$A$2:$H$9999,7,FALSE),"")</f>
        <v/>
      </c>
      <c r="U30" s="10" t="str">
        <f>IFERROR(VLOOKUP(C30,'#level_value'!$A$2:$H$9999,8,FALSE),"")</f>
        <v/>
      </c>
    </row>
    <row r="31" ht="16.5" customHeight="1">
      <c r="A31" s="11">
        <f t="shared" si="5"/>
        <v>10030</v>
      </c>
      <c r="B31" s="6">
        <f t="shared" ref="B31:C31" si="33">A31+10000</f>
        <v>20030</v>
      </c>
      <c r="C31" s="6">
        <f t="shared" si="33"/>
        <v>30030</v>
      </c>
      <c r="D31" s="7" t="str">
        <f t="shared" si="3"/>
        <v>SkillName.10030</v>
      </c>
      <c r="E31" s="8" t="s">
        <v>83</v>
      </c>
      <c r="F31" s="7" t="str">
        <f t="shared" si="4"/>
        <v>SkillDesc.10030</v>
      </c>
      <c r="G31" s="8" t="s">
        <v>84</v>
      </c>
      <c r="H31" s="8"/>
      <c r="I31" s="9" t="s">
        <v>24</v>
      </c>
      <c r="J31" s="10" t="str">
        <f>IFERROR(VLOOKUP(A31,'#level_value'!$A$2:$H$9999,3,FALSE),"")</f>
        <v>Vision</v>
      </c>
      <c r="K31" s="10" t="str">
        <f>IFERROR(VLOOKUP(A31,'#level_value'!$A$2:$H$9999,4,FALSE),"")</f>
        <v>TwoStrike</v>
      </c>
      <c r="L31" s="10" t="str">
        <f>IFERROR(VLOOKUP(A31,'#level_value'!$A$2:$H$9999,7,FALSE),"")</f>
        <v>[30,35,40,45,50]</v>
      </c>
      <c r="M31" s="10" t="str">
        <f>IFERROR(VLOOKUP(A31,'#level_value'!$A$2:$H$9999,8,FALSE),"")</f>
        <v>[5,8,14,20,30]</v>
      </c>
      <c r="N31" s="10" t="str">
        <f>IFERROR(VLOOKUP(B31,'#level_value'!$A$2:$H$9999,3,FALSE),"")</f>
        <v/>
      </c>
      <c r="O31" s="10" t="str">
        <f>IFERROR(VLOOKUP(B31,'#level_value'!$A$2:$H$9999,4,FALSE),"")</f>
        <v/>
      </c>
      <c r="P31" s="10" t="str">
        <f>IFERROR(VLOOKUP(B31,'#level_value'!$A$2:$H$9999,7,FALSE),"")</f>
        <v/>
      </c>
      <c r="Q31" s="10" t="str">
        <f>IFERROR(VLOOKUP(B31,'#level_value'!$A$2:$H$9999,8,FALSE),"")</f>
        <v/>
      </c>
      <c r="R31" s="10" t="str">
        <f>IFERROR(VLOOKUP(C31,'#level_value'!$A$2:$H$9999,3,FALSE),"")</f>
        <v/>
      </c>
      <c r="S31" s="10" t="str">
        <f>IFERROR(VLOOKUP(C31,'#level_value'!$A$2:$H$9999,4,FALSE),"")</f>
        <v/>
      </c>
      <c r="T31" s="10" t="str">
        <f>IFERROR(VLOOKUP(C31,'#level_value'!$A$2:$H$9999,7,FALSE),"")</f>
        <v/>
      </c>
      <c r="U31" s="10" t="str">
        <f>IFERROR(VLOOKUP(C31,'#level_value'!$A$2:$H$9999,8,FALSE),"")</f>
        <v/>
      </c>
    </row>
    <row r="32" ht="16.5" customHeight="1">
      <c r="A32" s="11">
        <f t="shared" si="5"/>
        <v>10031</v>
      </c>
      <c r="B32" s="6">
        <f t="shared" ref="B32:C32" si="34">A32+10000</f>
        <v>20031</v>
      </c>
      <c r="C32" s="6">
        <f t="shared" si="34"/>
        <v>30031</v>
      </c>
      <c r="D32" s="7" t="str">
        <f t="shared" si="3"/>
        <v>SkillName.10031</v>
      </c>
      <c r="E32" s="8" t="s">
        <v>85</v>
      </c>
      <c r="F32" s="7" t="str">
        <f t="shared" si="4"/>
        <v>SkillDesc.10031</v>
      </c>
      <c r="G32" s="8" t="s">
        <v>84</v>
      </c>
      <c r="H32" s="8"/>
      <c r="I32" s="9" t="s">
        <v>24</v>
      </c>
      <c r="J32" s="10" t="str">
        <f>IFERROR(VLOOKUP(A32,'#level_value'!$A$2:$H$9999,3,FALSE),"")</f>
        <v>Vision</v>
      </c>
      <c r="K32" s="10" t="str">
        <f>IFERROR(VLOOKUP(A32,'#level_value'!$A$2:$H$9999,4,FALSE),"")</f>
        <v>TwoStrike</v>
      </c>
      <c r="L32" s="10" t="str">
        <f>IFERROR(VLOOKUP(A32,'#level_value'!$A$2:$H$9999,7,FALSE),"")</f>
        <v>[50,55,60,65,70]</v>
      </c>
      <c r="M32" s="10" t="str">
        <f>IFERROR(VLOOKUP(A32,'#level_value'!$A$2:$H$9999,8,FALSE),"")</f>
        <v>[10,16,22,34,50]</v>
      </c>
      <c r="N32" s="10" t="str">
        <f>IFERROR(VLOOKUP(B32,'#level_value'!$A$2:$H$9999,3,FALSE),"")</f>
        <v/>
      </c>
      <c r="O32" s="10" t="str">
        <f>IFERROR(VLOOKUP(B32,'#level_value'!$A$2:$H$9999,4,FALSE),"")</f>
        <v/>
      </c>
      <c r="P32" s="10" t="str">
        <f>IFERROR(VLOOKUP(B32,'#level_value'!$A$2:$H$9999,7,FALSE),"")</f>
        <v/>
      </c>
      <c r="Q32" s="10" t="str">
        <f>IFERROR(VLOOKUP(B32,'#level_value'!$A$2:$H$9999,8,FALSE),"")</f>
        <v/>
      </c>
      <c r="R32" s="10" t="str">
        <f>IFERROR(VLOOKUP(C32,'#level_value'!$A$2:$H$9999,3,FALSE),"")</f>
        <v/>
      </c>
      <c r="S32" s="10" t="str">
        <f>IFERROR(VLOOKUP(C32,'#level_value'!$A$2:$H$9999,4,FALSE),"")</f>
        <v/>
      </c>
      <c r="T32" s="10" t="str">
        <f>IFERROR(VLOOKUP(C32,'#level_value'!$A$2:$H$9999,7,FALSE),"")</f>
        <v/>
      </c>
      <c r="U32" s="10" t="str">
        <f>IFERROR(VLOOKUP(C32,'#level_value'!$A$2:$H$9999,8,FALSE),"")</f>
        <v/>
      </c>
    </row>
    <row r="33" ht="16.5" customHeight="1">
      <c r="A33" s="11">
        <f t="shared" si="5"/>
        <v>10032</v>
      </c>
      <c r="B33" s="6">
        <f t="shared" ref="B33:C33" si="35">A33+10000</f>
        <v>20032</v>
      </c>
      <c r="C33" s="6">
        <f t="shared" si="35"/>
        <v>30032</v>
      </c>
      <c r="D33" s="7" t="str">
        <f t="shared" si="3"/>
        <v>SkillName.10032</v>
      </c>
      <c r="E33" s="8" t="s">
        <v>86</v>
      </c>
      <c r="F33" s="7" t="str">
        <f t="shared" si="4"/>
        <v>SkillDesc.10032</v>
      </c>
      <c r="G33" s="8" t="s">
        <v>87</v>
      </c>
      <c r="H33" s="8"/>
      <c r="I33" s="9" t="s">
        <v>24</v>
      </c>
      <c r="J33" s="10" t="str">
        <f>IFERROR(VLOOKUP(A33,'#level_value'!$A$2:$H$9999,3,FALSE),"")</f>
        <v>Vision</v>
      </c>
      <c r="K33" s="10" t="str">
        <f>IFERROR(VLOOKUP(A33,'#level_value'!$A$2:$H$9999,4,FALSE),"")</f>
        <v>TwoStrike</v>
      </c>
      <c r="L33" s="10" t="str">
        <f>IFERROR(VLOOKUP(A33,'#level_value'!$A$2:$H$9999,7,FALSE),"")</f>
        <v>[0,0,0,0,0]</v>
      </c>
      <c r="M33" s="10" t="str">
        <f>IFERROR(VLOOKUP(A33,'#level_value'!$A$2:$H$9999,8,FALSE),"")</f>
        <v>[10,16,22,34,50]</v>
      </c>
      <c r="N33" s="10" t="str">
        <f>IFERROR(VLOOKUP(B33,'#level_value'!$A$2:$H$9999,3,FALSE),"")</f>
        <v>CheckSwing</v>
      </c>
      <c r="O33" s="10" t="str">
        <f>IFERROR(VLOOKUP(B33,'#level_value'!$A$2:$H$9999,4,FALSE),"")</f>
        <v>MainActivated</v>
      </c>
      <c r="P33" s="10" t="str">
        <f>IFERROR(VLOOKUP(B33,'#level_value'!$A$2:$H$9999,7,FALSE),"")</f>
        <v>[0,0,0,0,0]</v>
      </c>
      <c r="Q33" s="10" t="str">
        <f>IFERROR(VLOOKUP(B33,'#level_value'!$A$2:$H$9999,8,FALSE),"")</f>
        <v>[30000,50000,70000,100000,150000]</v>
      </c>
      <c r="R33" s="10" t="str">
        <f>IFERROR(VLOOKUP(C33,'#level_value'!$A$2:$H$9999,3,FALSE),"")</f>
        <v/>
      </c>
      <c r="S33" s="10" t="str">
        <f>IFERROR(VLOOKUP(C33,'#level_value'!$A$2:$H$9999,4,FALSE),"")</f>
        <v/>
      </c>
      <c r="T33" s="10" t="str">
        <f>IFERROR(VLOOKUP(C33,'#level_value'!$A$2:$H$9999,7,FALSE),"")</f>
        <v/>
      </c>
      <c r="U33" s="10" t="str">
        <f>IFERROR(VLOOKUP(C33,'#level_value'!$A$2:$H$9999,8,FALSE),"")</f>
        <v/>
      </c>
    </row>
    <row r="34" ht="16.5" customHeight="1">
      <c r="A34" s="11">
        <f t="shared" si="5"/>
        <v>10033</v>
      </c>
      <c r="B34" s="6">
        <f t="shared" ref="B34:C34" si="36">A34+10000</f>
        <v>20033</v>
      </c>
      <c r="C34" s="6">
        <f t="shared" si="36"/>
        <v>30033</v>
      </c>
      <c r="D34" s="7" t="str">
        <f t="shared" si="3"/>
        <v>SkillName.10033</v>
      </c>
      <c r="E34" s="8" t="s">
        <v>88</v>
      </c>
      <c r="F34" s="7" t="str">
        <f t="shared" si="4"/>
        <v>SkillDesc.10033</v>
      </c>
      <c r="G34" s="8" t="s">
        <v>89</v>
      </c>
      <c r="H34" s="8"/>
      <c r="I34" s="9" t="s">
        <v>24</v>
      </c>
      <c r="J34" s="10" t="str">
        <f>IFERROR(VLOOKUP(A34,'#level_value'!$A$2:$H$9999,3,FALSE),"")</f>
        <v>Power</v>
      </c>
      <c r="K34" s="10" t="str">
        <f>IFERROR(VLOOKUP(A34,'#level_value'!$A$2:$H$9999,4,FALSE),"")</f>
        <v>Chance</v>
      </c>
      <c r="L34" s="10" t="str">
        <f>IFERROR(VLOOKUP(A34,'#level_value'!$A$2:$H$9999,7,FALSE),"")</f>
        <v>[30,35,40,45,50]</v>
      </c>
      <c r="M34" s="10" t="str">
        <f>IFERROR(VLOOKUP(A34,'#level_value'!$A$2:$H$9999,8,FALSE),"")</f>
        <v>[5,8,14,20,30]</v>
      </c>
      <c r="N34" s="10" t="str">
        <f>IFERROR(VLOOKUP(B34,'#level_value'!$A$2:$H$9999,3,FALSE),"")</f>
        <v/>
      </c>
      <c r="O34" s="10" t="str">
        <f>IFERROR(VLOOKUP(B34,'#level_value'!$A$2:$H$9999,4,FALSE),"")</f>
        <v/>
      </c>
      <c r="P34" s="10" t="str">
        <f>IFERROR(VLOOKUP(B34,'#level_value'!$A$2:$H$9999,7,FALSE),"")</f>
        <v/>
      </c>
      <c r="Q34" s="10" t="str">
        <f>IFERROR(VLOOKUP(B34,'#level_value'!$A$2:$H$9999,8,FALSE),"")</f>
        <v/>
      </c>
      <c r="R34" s="10" t="str">
        <f>IFERROR(VLOOKUP(C34,'#level_value'!$A$2:$H$9999,3,FALSE),"")</f>
        <v/>
      </c>
      <c r="S34" s="10" t="str">
        <f>IFERROR(VLOOKUP(C34,'#level_value'!$A$2:$H$9999,4,FALSE),"")</f>
        <v/>
      </c>
      <c r="T34" s="10" t="str">
        <f>IFERROR(VLOOKUP(C34,'#level_value'!$A$2:$H$9999,7,FALSE),"")</f>
        <v/>
      </c>
      <c r="U34" s="10" t="str">
        <f>IFERROR(VLOOKUP(C34,'#level_value'!$A$2:$H$9999,8,FALSE),"")</f>
        <v/>
      </c>
    </row>
    <row r="35" ht="16.5" customHeight="1">
      <c r="A35" s="11">
        <f t="shared" si="5"/>
        <v>10034</v>
      </c>
      <c r="B35" s="6">
        <f t="shared" ref="B35:C35" si="37">A35+10000</f>
        <v>20034</v>
      </c>
      <c r="C35" s="6">
        <f t="shared" si="37"/>
        <v>30034</v>
      </c>
      <c r="D35" s="7" t="str">
        <f t="shared" si="3"/>
        <v>SkillName.10034</v>
      </c>
      <c r="E35" s="8" t="s">
        <v>90</v>
      </c>
      <c r="F35" s="7" t="str">
        <f t="shared" si="4"/>
        <v>SkillDesc.10034</v>
      </c>
      <c r="G35" s="8" t="s">
        <v>89</v>
      </c>
      <c r="H35" s="8"/>
      <c r="I35" s="9" t="s">
        <v>24</v>
      </c>
      <c r="J35" s="10" t="str">
        <f>IFERROR(VLOOKUP(A35,'#level_value'!$A$2:$H$9999,3,FALSE),"")</f>
        <v>Power</v>
      </c>
      <c r="K35" s="10" t="str">
        <f>IFERROR(VLOOKUP(A35,'#level_value'!$A$2:$H$9999,4,FALSE),"")</f>
        <v>Chance</v>
      </c>
      <c r="L35" s="10" t="str">
        <f>IFERROR(VLOOKUP(A35,'#level_value'!$A$2:$H$9999,7,FALSE),"")</f>
        <v>[50,55,60,65,70]</v>
      </c>
      <c r="M35" s="10" t="str">
        <f>IFERROR(VLOOKUP(A35,'#level_value'!$A$2:$H$9999,8,FALSE),"")</f>
        <v>[10,16,22,34,50]</v>
      </c>
      <c r="N35" s="10" t="str">
        <f>IFERROR(VLOOKUP(B35,'#level_value'!$A$2:$H$9999,3,FALSE),"")</f>
        <v/>
      </c>
      <c r="O35" s="10" t="str">
        <f>IFERROR(VLOOKUP(B35,'#level_value'!$A$2:$H$9999,4,FALSE),"")</f>
        <v/>
      </c>
      <c r="P35" s="10" t="str">
        <f>IFERROR(VLOOKUP(B35,'#level_value'!$A$2:$H$9999,7,FALSE),"")</f>
        <v/>
      </c>
      <c r="Q35" s="10" t="str">
        <f>IFERROR(VLOOKUP(B35,'#level_value'!$A$2:$H$9999,8,FALSE),"")</f>
        <v/>
      </c>
      <c r="R35" s="10" t="str">
        <f>IFERROR(VLOOKUP(C35,'#level_value'!$A$2:$H$9999,3,FALSE),"")</f>
        <v/>
      </c>
      <c r="S35" s="10" t="str">
        <f>IFERROR(VLOOKUP(C35,'#level_value'!$A$2:$H$9999,4,FALSE),"")</f>
        <v/>
      </c>
      <c r="T35" s="10" t="str">
        <f>IFERROR(VLOOKUP(C35,'#level_value'!$A$2:$H$9999,7,FALSE),"")</f>
        <v/>
      </c>
      <c r="U35" s="10" t="str">
        <f>IFERROR(VLOOKUP(C35,'#level_value'!$A$2:$H$9999,8,FALSE),"")</f>
        <v/>
      </c>
    </row>
    <row r="36" ht="16.5" customHeight="1">
      <c r="A36" s="11">
        <f t="shared" si="5"/>
        <v>10035</v>
      </c>
      <c r="B36" s="6">
        <f t="shared" ref="B36:C36" si="38">A36+10000</f>
        <v>20035</v>
      </c>
      <c r="C36" s="6">
        <f t="shared" si="38"/>
        <v>30035</v>
      </c>
      <c r="D36" s="7" t="str">
        <f t="shared" si="3"/>
        <v>SkillName.10035</v>
      </c>
      <c r="E36" s="8" t="s">
        <v>91</v>
      </c>
      <c r="F36" s="7" t="str">
        <f t="shared" si="4"/>
        <v>SkillDesc.10035</v>
      </c>
      <c r="G36" s="8" t="s">
        <v>92</v>
      </c>
      <c r="H36" s="8"/>
      <c r="I36" s="9" t="s">
        <v>24</v>
      </c>
      <c r="J36" s="10" t="str">
        <f>IFERROR(VLOOKUP(A36,'#level_value'!$A$2:$H$9999,3,FALSE),"")</f>
        <v>Power</v>
      </c>
      <c r="K36" s="10" t="str">
        <f>IFERROR(VLOOKUP(A36,'#level_value'!$A$2:$H$9999,4,FALSE),"")</f>
        <v>Chance</v>
      </c>
      <c r="L36" s="10" t="str">
        <f>IFERROR(VLOOKUP(A36,'#level_value'!$A$2:$H$9999,7,FALSE),"")</f>
        <v>[0,0,0,0,0]</v>
      </c>
      <c r="M36" s="10" t="str">
        <f>IFERROR(VLOOKUP(A36,'#level_value'!$A$2:$H$9999,8,FALSE),"")</f>
        <v>[10,16,22,34,50]</v>
      </c>
      <c r="N36" s="10" t="str">
        <f>IFERROR(VLOOKUP(B36,'#level_value'!$A$2:$H$9999,3,FALSE),"")</f>
        <v>Contact</v>
      </c>
      <c r="O36" s="10" t="str">
        <f>IFERROR(VLOOKUP(B36,'#level_value'!$A$2:$H$9999,4,FALSE),"")</f>
        <v>MainActivated</v>
      </c>
      <c r="P36" s="10" t="str">
        <f>IFERROR(VLOOKUP(B36,'#level_value'!$A$2:$H$9999,7,FALSE),"")</f>
        <v>[0,0,0,0,0]</v>
      </c>
      <c r="Q36" s="10" t="str">
        <f>IFERROR(VLOOKUP(B36,'#level_value'!$A$2:$H$9999,8,FALSE),"")</f>
        <v>[5,8,11,18,25]</v>
      </c>
      <c r="R36" s="10" t="str">
        <f>IFERROR(VLOOKUP(C36,'#level_value'!$A$2:$H$9999,3,FALSE),"")</f>
        <v/>
      </c>
      <c r="S36" s="10" t="str">
        <f>IFERROR(VLOOKUP(C36,'#level_value'!$A$2:$H$9999,4,FALSE),"")</f>
        <v/>
      </c>
      <c r="T36" s="10" t="str">
        <f>IFERROR(VLOOKUP(C36,'#level_value'!$A$2:$H$9999,7,FALSE),"")</f>
        <v/>
      </c>
      <c r="U36" s="10" t="str">
        <f>IFERROR(VLOOKUP(C36,'#level_value'!$A$2:$H$9999,8,FALSE),"")</f>
        <v/>
      </c>
    </row>
    <row r="37" ht="16.5" customHeight="1">
      <c r="A37" s="11">
        <f t="shared" si="5"/>
        <v>10036</v>
      </c>
      <c r="B37" s="6">
        <f t="shared" ref="B37:C37" si="39">A37+10000</f>
        <v>20036</v>
      </c>
      <c r="C37" s="6">
        <f t="shared" si="39"/>
        <v>30036</v>
      </c>
      <c r="D37" s="7" t="str">
        <f t="shared" si="3"/>
        <v>SkillName.10036</v>
      </c>
      <c r="E37" s="8" t="s">
        <v>93</v>
      </c>
      <c r="F37" s="7" t="str">
        <f t="shared" si="4"/>
        <v>SkillDesc.10036</v>
      </c>
      <c r="G37" s="13" t="s">
        <v>94</v>
      </c>
      <c r="H37" s="13"/>
      <c r="I37" s="9" t="s">
        <v>24</v>
      </c>
      <c r="J37" s="10" t="str">
        <f>IFERROR(VLOOKUP(A37,'#level_value'!$A$2:$H$9999,3,FALSE),"")</f>
        <v>Contact</v>
      </c>
      <c r="K37" s="10" t="str">
        <f>IFERROR(VLOOKUP(A37,'#level_value'!$A$2:$H$9999,4,FALSE),"")</f>
        <v>Losing1</v>
      </c>
      <c r="L37" s="10" t="str">
        <f>IFERROR(VLOOKUP(A37,'#level_value'!$A$2:$H$9999,7,FALSE),"")</f>
        <v>[30,35,40,45,50]</v>
      </c>
      <c r="M37" s="10" t="str">
        <f>IFERROR(VLOOKUP(A37,'#level_value'!$A$2:$H$9999,8,FALSE),"")</f>
        <v>[5,8,14,20,30]</v>
      </c>
      <c r="N37" s="10" t="str">
        <f>IFERROR(VLOOKUP(B37,'#level_value'!$A$2:$H$9999,3,FALSE),"")</f>
        <v/>
      </c>
      <c r="O37" s="10" t="str">
        <f>IFERROR(VLOOKUP(B37,'#level_value'!$A$2:$H$9999,4,FALSE),"")</f>
        <v/>
      </c>
      <c r="P37" s="10" t="str">
        <f>IFERROR(VLOOKUP(B37,'#level_value'!$A$2:$H$9999,7,FALSE),"")</f>
        <v/>
      </c>
      <c r="Q37" s="10" t="str">
        <f>IFERROR(VLOOKUP(B37,'#level_value'!$A$2:$H$9999,8,FALSE),"")</f>
        <v/>
      </c>
      <c r="R37" s="10" t="str">
        <f>IFERROR(VLOOKUP(C37,'#level_value'!$A$2:$H$9999,3,FALSE),"")</f>
        <v/>
      </c>
      <c r="S37" s="10" t="str">
        <f>IFERROR(VLOOKUP(C37,'#level_value'!$A$2:$H$9999,4,FALSE),"")</f>
        <v/>
      </c>
      <c r="T37" s="10" t="str">
        <f>IFERROR(VLOOKUP(C37,'#level_value'!$A$2:$H$9999,7,FALSE),"")</f>
        <v/>
      </c>
      <c r="U37" s="10" t="str">
        <f>IFERROR(VLOOKUP(C37,'#level_value'!$A$2:$H$9999,8,FALSE),"")</f>
        <v/>
      </c>
    </row>
    <row r="38" ht="16.5" customHeight="1">
      <c r="A38" s="11">
        <f t="shared" si="5"/>
        <v>10037</v>
      </c>
      <c r="B38" s="6">
        <f t="shared" ref="B38:C38" si="40">A38+10000</f>
        <v>20037</v>
      </c>
      <c r="C38" s="6">
        <f t="shared" si="40"/>
        <v>30037</v>
      </c>
      <c r="D38" s="7" t="str">
        <f t="shared" si="3"/>
        <v>SkillName.10037</v>
      </c>
      <c r="E38" s="8" t="s">
        <v>95</v>
      </c>
      <c r="F38" s="7" t="str">
        <f t="shared" si="4"/>
        <v>SkillDesc.10037</v>
      </c>
      <c r="G38" s="13" t="s">
        <v>96</v>
      </c>
      <c r="H38" s="13"/>
      <c r="I38" s="9" t="s">
        <v>24</v>
      </c>
      <c r="J38" s="10" t="str">
        <f>IFERROR(VLOOKUP(A38,'#level_value'!$A$2:$H$9999,3,FALSE),"")</f>
        <v>Contact</v>
      </c>
      <c r="K38" s="10" t="str">
        <f>IFERROR(VLOOKUP(A38,'#level_value'!$A$2:$H$9999,4,FALSE),"")</f>
        <v>Losing2</v>
      </c>
      <c r="L38" s="10" t="str">
        <f>IFERROR(VLOOKUP(A38,'#level_value'!$A$2:$H$9999,7,FALSE),"")</f>
        <v>[0,0,0,0,0]</v>
      </c>
      <c r="M38" s="10" t="str">
        <f>IFERROR(VLOOKUP(A38,'#level_value'!$A$2:$H$9999,8,FALSE),"")</f>
        <v>[10,16,22,34,50]</v>
      </c>
      <c r="N38" s="10" t="str">
        <f>IFERROR(VLOOKUP(B38,'#level_value'!$A$2:$H$9999,3,FALSE),"")</f>
        <v/>
      </c>
      <c r="O38" s="10" t="str">
        <f>IFERROR(VLOOKUP(B38,'#level_value'!$A$2:$H$9999,4,FALSE),"")</f>
        <v/>
      </c>
      <c r="P38" s="10" t="str">
        <f>IFERROR(VLOOKUP(B38,'#level_value'!$A$2:$H$9999,7,FALSE),"")</f>
        <v/>
      </c>
      <c r="Q38" s="10" t="str">
        <f>IFERROR(VLOOKUP(B38,'#level_value'!$A$2:$H$9999,8,FALSE),"")</f>
        <v/>
      </c>
      <c r="R38" s="10" t="str">
        <f>IFERROR(VLOOKUP(C38,'#level_value'!$A$2:$H$9999,3,FALSE),"")</f>
        <v/>
      </c>
      <c r="S38" s="10" t="str">
        <f>IFERROR(VLOOKUP(C38,'#level_value'!$A$2:$H$9999,4,FALSE),"")</f>
        <v/>
      </c>
      <c r="T38" s="10" t="str">
        <f>IFERROR(VLOOKUP(C38,'#level_value'!$A$2:$H$9999,7,FALSE),"")</f>
        <v/>
      </c>
      <c r="U38" s="10" t="str">
        <f>IFERROR(VLOOKUP(C38,'#level_value'!$A$2:$H$9999,8,FALSE),"")</f>
        <v/>
      </c>
    </row>
    <row r="39" ht="16.5" customHeight="1">
      <c r="A39" s="11">
        <f t="shared" si="5"/>
        <v>10038</v>
      </c>
      <c r="B39" s="6">
        <f t="shared" ref="B39:C39" si="41">A39+10000</f>
        <v>20038</v>
      </c>
      <c r="C39" s="6">
        <f t="shared" si="41"/>
        <v>30038</v>
      </c>
      <c r="D39" s="7" t="str">
        <f t="shared" si="3"/>
        <v>SkillName.10038</v>
      </c>
      <c r="E39" s="8" t="s">
        <v>97</v>
      </c>
      <c r="F39" s="7" t="str">
        <f t="shared" si="4"/>
        <v>SkillDesc.10038</v>
      </c>
      <c r="G39" s="8" t="s">
        <v>98</v>
      </c>
      <c r="H39" s="8"/>
      <c r="I39" s="9" t="s">
        <v>24</v>
      </c>
      <c r="J39" s="10" t="str">
        <f>IFERROR(VLOOKUP(A39,'#level_value'!$A$2:$H$9999,3,FALSE),"")</f>
        <v>Vision</v>
      </c>
      <c r="K39" s="10" t="str">
        <f>IFERROR(VLOOKUP(A39,'#level_value'!$A$2:$H$9999,4,FALSE),"")</f>
        <v>InningFirst</v>
      </c>
      <c r="L39" s="10" t="str">
        <f>IFERROR(VLOOKUP(A39,'#level_value'!$A$2:$H$9999,7,FALSE),"")</f>
        <v>[30,35,40,45,50]</v>
      </c>
      <c r="M39" s="10" t="str">
        <f>IFERROR(VLOOKUP(A39,'#level_value'!$A$2:$H$9999,8,FALSE),"")</f>
        <v>[5,8,14,20,30]</v>
      </c>
      <c r="N39" s="10" t="str">
        <f>IFERROR(VLOOKUP(B39,'#level_value'!$A$2:$H$9999,3,FALSE),"")</f>
        <v/>
      </c>
      <c r="O39" s="10" t="str">
        <f>IFERROR(VLOOKUP(B39,'#level_value'!$A$2:$H$9999,4,FALSE),"")</f>
        <v/>
      </c>
      <c r="P39" s="10" t="str">
        <f>IFERROR(VLOOKUP(B39,'#level_value'!$A$2:$H$9999,7,FALSE),"")</f>
        <v/>
      </c>
      <c r="Q39" s="10" t="str">
        <f>IFERROR(VLOOKUP(B39,'#level_value'!$A$2:$H$9999,8,FALSE),"")</f>
        <v/>
      </c>
      <c r="R39" s="10" t="str">
        <f>IFERROR(VLOOKUP(C39,'#level_value'!$A$2:$H$9999,3,FALSE),"")</f>
        <v/>
      </c>
      <c r="S39" s="10" t="str">
        <f>IFERROR(VLOOKUP(C39,'#level_value'!$A$2:$H$9999,4,FALSE),"")</f>
        <v/>
      </c>
      <c r="T39" s="10" t="str">
        <f>IFERROR(VLOOKUP(C39,'#level_value'!$A$2:$H$9999,7,FALSE),"")</f>
        <v/>
      </c>
      <c r="U39" s="10" t="str">
        <f>IFERROR(VLOOKUP(C39,'#level_value'!$A$2:$H$9999,8,FALSE),"")</f>
        <v/>
      </c>
    </row>
    <row r="40" ht="16.5" customHeight="1">
      <c r="A40" s="11">
        <f t="shared" si="5"/>
        <v>10039</v>
      </c>
      <c r="B40" s="6">
        <f t="shared" ref="B40:C40" si="42">A40+10000</f>
        <v>20039</v>
      </c>
      <c r="C40" s="6">
        <f t="shared" si="42"/>
        <v>30039</v>
      </c>
      <c r="D40" s="7" t="str">
        <f t="shared" si="3"/>
        <v>SkillName.10039</v>
      </c>
      <c r="E40" s="8" t="s">
        <v>99</v>
      </c>
      <c r="F40" s="7" t="str">
        <f t="shared" si="4"/>
        <v>SkillDesc.10039</v>
      </c>
      <c r="G40" s="8" t="s">
        <v>98</v>
      </c>
      <c r="H40" s="8"/>
      <c r="I40" s="9" t="s">
        <v>24</v>
      </c>
      <c r="J40" s="10" t="str">
        <f>IFERROR(VLOOKUP(A40,'#level_value'!$A$2:$H$9999,3,FALSE),"")</f>
        <v>Vision</v>
      </c>
      <c r="K40" s="10" t="str">
        <f>IFERROR(VLOOKUP(A40,'#level_value'!$A$2:$H$9999,4,FALSE),"")</f>
        <v>InningFirst</v>
      </c>
      <c r="L40" s="10" t="str">
        <f>IFERROR(VLOOKUP(A40,'#level_value'!$A$2:$H$9999,7,FALSE),"")</f>
        <v>[50,55,60,65,70]</v>
      </c>
      <c r="M40" s="10" t="str">
        <f>IFERROR(VLOOKUP(A40,'#level_value'!$A$2:$H$9999,8,FALSE),"")</f>
        <v>[10,16,22,34,50]</v>
      </c>
      <c r="N40" s="10" t="str">
        <f>IFERROR(VLOOKUP(B40,'#level_value'!$A$2:$H$9999,3,FALSE),"")</f>
        <v/>
      </c>
      <c r="O40" s="10" t="str">
        <f>IFERROR(VLOOKUP(B40,'#level_value'!$A$2:$H$9999,4,FALSE),"")</f>
        <v/>
      </c>
      <c r="P40" s="10" t="str">
        <f>IFERROR(VLOOKUP(B40,'#level_value'!$A$2:$H$9999,7,FALSE),"")</f>
        <v/>
      </c>
      <c r="Q40" s="10" t="str">
        <f>IFERROR(VLOOKUP(B40,'#level_value'!$A$2:$H$9999,8,FALSE),"")</f>
        <v/>
      </c>
      <c r="R40" s="10" t="str">
        <f>IFERROR(VLOOKUP(C40,'#level_value'!$A$2:$H$9999,3,FALSE),"")</f>
        <v/>
      </c>
      <c r="S40" s="10" t="str">
        <f>IFERROR(VLOOKUP(C40,'#level_value'!$A$2:$H$9999,4,FALSE),"")</f>
        <v/>
      </c>
      <c r="T40" s="10" t="str">
        <f>IFERROR(VLOOKUP(C40,'#level_value'!$A$2:$H$9999,7,FALSE),"")</f>
        <v/>
      </c>
      <c r="U40" s="10" t="str">
        <f>IFERROR(VLOOKUP(C40,'#level_value'!$A$2:$H$9999,8,FALSE),"")</f>
        <v/>
      </c>
    </row>
    <row r="41" ht="16.5" customHeight="1">
      <c r="A41" s="11">
        <f t="shared" si="5"/>
        <v>10040</v>
      </c>
      <c r="B41" s="6">
        <f t="shared" ref="B41:C41" si="43">A41+10000</f>
        <v>20040</v>
      </c>
      <c r="C41" s="6">
        <f t="shared" si="43"/>
        <v>30040</v>
      </c>
      <c r="D41" s="7" t="str">
        <f t="shared" si="3"/>
        <v>SkillName.10040</v>
      </c>
      <c r="E41" s="8" t="s">
        <v>100</v>
      </c>
      <c r="F41" s="7" t="str">
        <f t="shared" si="4"/>
        <v>SkillDesc.10040</v>
      </c>
      <c r="G41" s="8" t="s">
        <v>101</v>
      </c>
      <c r="H41" s="8"/>
      <c r="I41" s="9" t="s">
        <v>24</v>
      </c>
      <c r="J41" s="10" t="str">
        <f>IFERROR(VLOOKUP(A41,'#level_value'!$A$2:$H$9999,3,FALSE),"")</f>
        <v>Vision</v>
      </c>
      <c r="K41" s="10" t="str">
        <f>IFERROR(VLOOKUP(A41,'#level_value'!$A$2:$H$9999,4,FALSE),"")</f>
        <v>InningFirst</v>
      </c>
      <c r="L41" s="10" t="str">
        <f>IFERROR(VLOOKUP(A41,'#level_value'!$A$2:$H$9999,7,FALSE),"")</f>
        <v>[0,0,0,0,0]</v>
      </c>
      <c r="M41" s="10" t="str">
        <f>IFERROR(VLOOKUP(A41,'#level_value'!$A$2:$H$9999,8,FALSE),"")</f>
        <v>[10,16,22,34,50]</v>
      </c>
      <c r="N41" s="10" t="str">
        <f>IFERROR(VLOOKUP(B41,'#level_value'!$A$2:$H$9999,3,FALSE),"")</f>
        <v>Power</v>
      </c>
      <c r="O41" s="10" t="str">
        <f>IFERROR(VLOOKUP(B41,'#level_value'!$A$2:$H$9999,4,FALSE),"")</f>
        <v>MainActivated</v>
      </c>
      <c r="P41" s="10" t="str">
        <f>IFERROR(VLOOKUP(B41,'#level_value'!$A$2:$H$9999,7,FALSE),"")</f>
        <v>[0,0,0,0,0]</v>
      </c>
      <c r="Q41" s="10" t="str">
        <f>IFERROR(VLOOKUP(B41,'#level_value'!$A$2:$H$9999,8,FALSE),"")</f>
        <v>[5,8,11,18,25]</v>
      </c>
      <c r="R41" s="10" t="str">
        <f>IFERROR(VLOOKUP(C41,'#level_value'!$A$2:$H$9999,3,FALSE),"")</f>
        <v/>
      </c>
      <c r="S41" s="10" t="str">
        <f>IFERROR(VLOOKUP(C41,'#level_value'!$A$2:$H$9999,4,FALSE),"")</f>
        <v/>
      </c>
      <c r="T41" s="10" t="str">
        <f>IFERROR(VLOOKUP(C41,'#level_value'!$A$2:$H$9999,7,FALSE),"")</f>
        <v/>
      </c>
      <c r="U41" s="10" t="str">
        <f>IFERROR(VLOOKUP(C41,'#level_value'!$A$2:$H$9999,8,FALSE),"")</f>
        <v/>
      </c>
    </row>
    <row r="42" ht="16.5" customHeight="1">
      <c r="A42" s="11">
        <f t="shared" si="5"/>
        <v>10041</v>
      </c>
      <c r="B42" s="6">
        <f t="shared" ref="B42:C42" si="44">A42+10000</f>
        <v>20041</v>
      </c>
      <c r="C42" s="6">
        <f t="shared" si="44"/>
        <v>30041</v>
      </c>
      <c r="D42" s="7" t="str">
        <f t="shared" si="3"/>
        <v>SkillName.10041</v>
      </c>
      <c r="E42" s="8" t="s">
        <v>102</v>
      </c>
      <c r="F42" s="7" t="str">
        <f t="shared" si="4"/>
        <v>SkillDesc.10041</v>
      </c>
      <c r="G42" s="13" t="s">
        <v>103</v>
      </c>
      <c r="H42" s="13"/>
      <c r="I42" s="9" t="s">
        <v>24</v>
      </c>
      <c r="J42" s="10" t="str">
        <f>IFERROR(VLOOKUP(A42,'#level_value'!$A$2:$H$9999,3,FALSE),"")</f>
        <v>HittingSpeed</v>
      </c>
      <c r="K42" s="10" t="str">
        <f>IFERROR(VLOOKUP(A42,'#level_value'!$A$2:$H$9999,4,FALSE),"")</f>
        <v>FullBase</v>
      </c>
      <c r="L42" s="10" t="str">
        <f>IFERROR(VLOOKUP(A42,'#level_value'!$A$2:$H$9999,7,FALSE),"")</f>
        <v>[0,0,0,0,0]</v>
      </c>
      <c r="M42" s="10" t="str">
        <f>IFERROR(VLOOKUP(A42,'#level_value'!$A$2:$H$9999,8,FALSE),"")</f>
        <v>[30000,50000,70000,100000,150000]</v>
      </c>
      <c r="N42" s="10" t="str">
        <f>IFERROR(VLOOKUP(B42,'#level_value'!$A$2:$H$9999,3,FALSE),"")</f>
        <v/>
      </c>
      <c r="O42" s="10" t="str">
        <f>IFERROR(VLOOKUP(B42,'#level_value'!$A$2:$H$9999,4,FALSE),"")</f>
        <v/>
      </c>
      <c r="P42" s="10" t="str">
        <f>IFERROR(VLOOKUP(B42,'#level_value'!$A$2:$H$9999,7,FALSE),"")</f>
        <v/>
      </c>
      <c r="Q42" s="10" t="str">
        <f>IFERROR(VLOOKUP(B42,'#level_value'!$A$2:$H$9999,8,FALSE),"")</f>
        <v/>
      </c>
      <c r="R42" s="10" t="str">
        <f>IFERROR(VLOOKUP(C42,'#level_value'!$A$2:$H$9999,3,FALSE),"")</f>
        <v/>
      </c>
      <c r="S42" s="10" t="str">
        <f>IFERROR(VLOOKUP(C42,'#level_value'!$A$2:$H$9999,4,FALSE),"")</f>
        <v/>
      </c>
      <c r="T42" s="10" t="str">
        <f>IFERROR(VLOOKUP(C42,'#level_value'!$A$2:$H$9999,7,FALSE),"")</f>
        <v/>
      </c>
      <c r="U42" s="10" t="str">
        <f>IFERROR(VLOOKUP(C42,'#level_value'!$A$2:$H$9999,8,FALSE),"")</f>
        <v/>
      </c>
    </row>
    <row r="43" ht="16.5" customHeight="1">
      <c r="A43" s="11">
        <f t="shared" si="5"/>
        <v>10042</v>
      </c>
      <c r="B43" s="6">
        <f t="shared" ref="B43:C43" si="45">A43+10000</f>
        <v>20042</v>
      </c>
      <c r="C43" s="6">
        <f t="shared" si="45"/>
        <v>30042</v>
      </c>
      <c r="D43" s="7" t="str">
        <f t="shared" si="3"/>
        <v>SkillName.10042</v>
      </c>
      <c r="E43" s="8" t="s">
        <v>104</v>
      </c>
      <c r="F43" s="7" t="str">
        <f t="shared" si="4"/>
        <v>SkillDesc.10042</v>
      </c>
      <c r="G43" s="13" t="s">
        <v>105</v>
      </c>
      <c r="H43" s="13"/>
      <c r="I43" s="9" t="s">
        <v>24</v>
      </c>
      <c r="J43" s="10" t="str">
        <f>IFERROR(VLOOKUP(A43,'#level_value'!$A$2:$H$9999,3,FALSE),"")</f>
        <v>Power</v>
      </c>
      <c r="K43" s="10" t="str">
        <f>IFERROR(VLOOKUP(A43,'#level_value'!$A$2:$H$9999,4,FALSE),"")</f>
        <v>Winning1</v>
      </c>
      <c r="L43" s="10" t="str">
        <f>IFERROR(VLOOKUP(A43,'#level_value'!$A$2:$H$9999,7,FALSE),"")</f>
        <v>[30,35,40,45,50]</v>
      </c>
      <c r="M43" s="10" t="str">
        <f>IFERROR(VLOOKUP(A43,'#level_value'!$A$2:$H$9999,8,FALSE),"")</f>
        <v>[5,8,14,20,30]</v>
      </c>
      <c r="N43" s="10" t="str">
        <f>IFERROR(VLOOKUP(B43,'#level_value'!$A$2:$H$9999,3,FALSE),"")</f>
        <v/>
      </c>
      <c r="O43" s="10" t="str">
        <f>IFERROR(VLOOKUP(B43,'#level_value'!$A$2:$H$9999,4,FALSE),"")</f>
        <v/>
      </c>
      <c r="P43" s="10" t="str">
        <f>IFERROR(VLOOKUP(B43,'#level_value'!$A$2:$H$9999,7,FALSE),"")</f>
        <v/>
      </c>
      <c r="Q43" s="10" t="str">
        <f>IFERROR(VLOOKUP(B43,'#level_value'!$A$2:$H$9999,8,FALSE),"")</f>
        <v/>
      </c>
      <c r="R43" s="10" t="str">
        <f>IFERROR(VLOOKUP(C43,'#level_value'!$A$2:$H$9999,3,FALSE),"")</f>
        <v/>
      </c>
      <c r="S43" s="10" t="str">
        <f>IFERROR(VLOOKUP(C43,'#level_value'!$A$2:$H$9999,4,FALSE),"")</f>
        <v/>
      </c>
      <c r="T43" s="10" t="str">
        <f>IFERROR(VLOOKUP(C43,'#level_value'!$A$2:$H$9999,7,FALSE),"")</f>
        <v/>
      </c>
      <c r="U43" s="10" t="str">
        <f>IFERROR(VLOOKUP(C43,'#level_value'!$A$2:$H$9999,8,FALSE),"")</f>
        <v/>
      </c>
    </row>
    <row r="44" ht="16.5" customHeight="1">
      <c r="A44" s="11">
        <f t="shared" si="5"/>
        <v>10043</v>
      </c>
      <c r="B44" s="6">
        <f t="shared" ref="B44:C44" si="46">A44+10000</f>
        <v>20043</v>
      </c>
      <c r="C44" s="6">
        <f t="shared" si="46"/>
        <v>30043</v>
      </c>
      <c r="D44" s="7" t="str">
        <f t="shared" si="3"/>
        <v>SkillName.10043</v>
      </c>
      <c r="E44" s="8" t="s">
        <v>106</v>
      </c>
      <c r="F44" s="7" t="str">
        <f t="shared" si="4"/>
        <v>SkillDesc.10043</v>
      </c>
      <c r="G44" s="13" t="s">
        <v>107</v>
      </c>
      <c r="H44" s="13"/>
      <c r="I44" s="9" t="s">
        <v>24</v>
      </c>
      <c r="J44" s="10" t="str">
        <f>IFERROR(VLOOKUP(A44,'#level_value'!$A$2:$H$9999,3,FALSE),"")</f>
        <v>Power</v>
      </c>
      <c r="K44" s="10" t="str">
        <f>IFERROR(VLOOKUP(A44,'#level_value'!$A$2:$H$9999,4,FALSE),"")</f>
        <v>Winning2</v>
      </c>
      <c r="L44" s="10" t="str">
        <f>IFERROR(VLOOKUP(A44,'#level_value'!$A$2:$H$9999,7,FALSE),"")</f>
        <v>[0,0,0,0,0]</v>
      </c>
      <c r="M44" s="10" t="str">
        <f>IFERROR(VLOOKUP(A44,'#level_value'!$A$2:$H$9999,8,FALSE),"")</f>
        <v>[10,16,22,34,50]</v>
      </c>
      <c r="N44" s="10" t="str">
        <f>IFERROR(VLOOKUP(B44,'#level_value'!$A$2:$H$9999,3,FALSE),"")</f>
        <v/>
      </c>
      <c r="O44" s="10" t="str">
        <f>IFERROR(VLOOKUP(B44,'#level_value'!$A$2:$H$9999,4,FALSE),"")</f>
        <v/>
      </c>
      <c r="P44" s="10" t="str">
        <f>IFERROR(VLOOKUP(B44,'#level_value'!$A$2:$H$9999,7,FALSE),"")</f>
        <v/>
      </c>
      <c r="Q44" s="10" t="str">
        <f>IFERROR(VLOOKUP(B44,'#level_value'!$A$2:$H$9999,8,FALSE),"")</f>
        <v/>
      </c>
      <c r="R44" s="10" t="str">
        <f>IFERROR(VLOOKUP(C44,'#level_value'!$A$2:$H$9999,3,FALSE),"")</f>
        <v/>
      </c>
      <c r="S44" s="10" t="str">
        <f>IFERROR(VLOOKUP(C44,'#level_value'!$A$2:$H$9999,4,FALSE),"")</f>
        <v/>
      </c>
      <c r="T44" s="10" t="str">
        <f>IFERROR(VLOOKUP(C44,'#level_value'!$A$2:$H$9999,7,FALSE),"")</f>
        <v/>
      </c>
      <c r="U44" s="10" t="str">
        <f>IFERROR(VLOOKUP(C44,'#level_value'!$A$2:$H$9999,8,FALSE),"")</f>
        <v/>
      </c>
    </row>
    <row r="45" ht="16.5" customHeight="1">
      <c r="A45" s="11">
        <f t="shared" si="5"/>
        <v>10044</v>
      </c>
      <c r="B45" s="6">
        <f t="shared" ref="B45:C45" si="47">A45+10000</f>
        <v>20044</v>
      </c>
      <c r="C45" s="6">
        <f t="shared" si="47"/>
        <v>30044</v>
      </c>
      <c r="D45" s="7" t="str">
        <f t="shared" si="3"/>
        <v>SkillName.10044</v>
      </c>
      <c r="E45" s="8" t="s">
        <v>108</v>
      </c>
      <c r="F45" s="7" t="str">
        <f t="shared" si="4"/>
        <v>SkillDesc.10044</v>
      </c>
      <c r="G45" s="13" t="s">
        <v>109</v>
      </c>
      <c r="H45" s="13"/>
      <c r="I45" s="9" t="s">
        <v>24</v>
      </c>
      <c r="J45" s="10" t="str">
        <f>IFERROR(VLOOKUP(A45,'#level_value'!$A$2:$H$9999,3,FALSE),"")</f>
        <v>Vision</v>
      </c>
      <c r="K45" s="10" t="str">
        <f>IFERROR(VLOOKUP(A45,'#level_value'!$A$2:$H$9999,4,FALSE),"")</f>
        <v>NoRunner</v>
      </c>
      <c r="L45" s="10" t="str">
        <f>IFERROR(VLOOKUP(A45,'#level_value'!$A$2:$H$9999,7,FALSE),"")</f>
        <v>[30,35,40,45,50]</v>
      </c>
      <c r="M45" s="10" t="str">
        <f>IFERROR(VLOOKUP(A45,'#level_value'!$A$2:$H$9999,8,FALSE),"")</f>
        <v>[5,8,14,20,30]</v>
      </c>
      <c r="N45" s="10" t="str">
        <f>IFERROR(VLOOKUP(B45,'#level_value'!$A$2:$H$9999,3,FALSE),"")</f>
        <v/>
      </c>
      <c r="O45" s="10" t="str">
        <f>IFERROR(VLOOKUP(B45,'#level_value'!$A$2:$H$9999,4,FALSE),"")</f>
        <v/>
      </c>
      <c r="P45" s="10" t="str">
        <f>IFERROR(VLOOKUP(B45,'#level_value'!$A$2:$H$9999,7,FALSE),"")</f>
        <v/>
      </c>
      <c r="Q45" s="10" t="str">
        <f>IFERROR(VLOOKUP(B45,'#level_value'!$A$2:$H$9999,8,FALSE),"")</f>
        <v/>
      </c>
      <c r="R45" s="10" t="str">
        <f>IFERROR(VLOOKUP(C45,'#level_value'!$A$2:$H$9999,3,FALSE),"")</f>
        <v/>
      </c>
      <c r="S45" s="10" t="str">
        <f>IFERROR(VLOOKUP(C45,'#level_value'!$A$2:$H$9999,4,FALSE),"")</f>
        <v/>
      </c>
      <c r="T45" s="10" t="str">
        <f>IFERROR(VLOOKUP(C45,'#level_value'!$A$2:$H$9999,7,FALSE),"")</f>
        <v/>
      </c>
      <c r="U45" s="10" t="str">
        <f>IFERROR(VLOOKUP(C45,'#level_value'!$A$2:$H$9999,8,FALSE),"")</f>
        <v/>
      </c>
    </row>
    <row r="46" ht="16.5" customHeight="1">
      <c r="A46" s="11">
        <f t="shared" si="5"/>
        <v>10045</v>
      </c>
      <c r="B46" s="6">
        <f t="shared" ref="B46:C46" si="48">A46+10000</f>
        <v>20045</v>
      </c>
      <c r="C46" s="6">
        <f t="shared" si="48"/>
        <v>30045</v>
      </c>
      <c r="D46" s="7" t="str">
        <f t="shared" si="3"/>
        <v>SkillName.10045</v>
      </c>
      <c r="E46" s="8" t="s">
        <v>110</v>
      </c>
      <c r="F46" s="7" t="str">
        <f t="shared" si="4"/>
        <v>SkillDesc.10045</v>
      </c>
      <c r="G46" s="13" t="s">
        <v>109</v>
      </c>
      <c r="H46" s="13"/>
      <c r="I46" s="9" t="s">
        <v>24</v>
      </c>
      <c r="J46" s="10" t="str">
        <f>IFERROR(VLOOKUP(A46,'#level_value'!$A$2:$H$9999,3,FALSE),"")</f>
        <v>Vision</v>
      </c>
      <c r="K46" s="10" t="str">
        <f>IFERROR(VLOOKUP(A46,'#level_value'!$A$2:$H$9999,4,FALSE),"")</f>
        <v>NoRunner</v>
      </c>
      <c r="L46" s="10" t="str">
        <f>IFERROR(VLOOKUP(A46,'#level_value'!$A$2:$H$9999,7,FALSE),"")</f>
        <v>[50,55,60,65,70]</v>
      </c>
      <c r="M46" s="10" t="str">
        <f>IFERROR(VLOOKUP(A46,'#level_value'!$A$2:$H$9999,8,FALSE),"")</f>
        <v>[10,16,22,34,50]</v>
      </c>
      <c r="N46" s="10" t="str">
        <f>IFERROR(VLOOKUP(B46,'#level_value'!$A$2:$H$9999,3,FALSE),"")</f>
        <v/>
      </c>
      <c r="O46" s="10" t="str">
        <f>IFERROR(VLOOKUP(B46,'#level_value'!$A$2:$H$9999,4,FALSE),"")</f>
        <v/>
      </c>
      <c r="P46" s="10" t="str">
        <f>IFERROR(VLOOKUP(B46,'#level_value'!$A$2:$H$9999,7,FALSE),"")</f>
        <v/>
      </c>
      <c r="Q46" s="10" t="str">
        <f>IFERROR(VLOOKUP(B46,'#level_value'!$A$2:$H$9999,8,FALSE),"")</f>
        <v/>
      </c>
      <c r="R46" s="10" t="str">
        <f>IFERROR(VLOOKUP(C46,'#level_value'!$A$2:$H$9999,3,FALSE),"")</f>
        <v/>
      </c>
      <c r="S46" s="10" t="str">
        <f>IFERROR(VLOOKUP(C46,'#level_value'!$A$2:$H$9999,4,FALSE),"")</f>
        <v/>
      </c>
      <c r="T46" s="10" t="str">
        <f>IFERROR(VLOOKUP(C46,'#level_value'!$A$2:$H$9999,7,FALSE),"")</f>
        <v/>
      </c>
      <c r="U46" s="10" t="str">
        <f>IFERROR(VLOOKUP(C46,'#level_value'!$A$2:$H$9999,8,FALSE),"")</f>
        <v/>
      </c>
    </row>
    <row r="47" ht="16.5" customHeight="1">
      <c r="A47" s="11">
        <f t="shared" si="5"/>
        <v>10046</v>
      </c>
      <c r="B47" s="6">
        <f t="shared" ref="B47:C47" si="49">A47+10000</f>
        <v>20046</v>
      </c>
      <c r="C47" s="6">
        <f t="shared" si="49"/>
        <v>30046</v>
      </c>
      <c r="D47" s="7" t="str">
        <f t="shared" si="3"/>
        <v>SkillName.10046</v>
      </c>
      <c r="E47" s="8" t="s">
        <v>111</v>
      </c>
      <c r="F47" s="7" t="str">
        <f t="shared" si="4"/>
        <v>SkillDesc.10046</v>
      </c>
      <c r="G47" s="13" t="s">
        <v>112</v>
      </c>
      <c r="H47" s="13"/>
      <c r="I47" s="9" t="s">
        <v>24</v>
      </c>
      <c r="J47" s="10" t="str">
        <f>IFERROR(VLOOKUP(A47,'#level_value'!$A$2:$H$9999,3,FALSE),"")</f>
        <v>Vision</v>
      </c>
      <c r="K47" s="10" t="str">
        <f>IFERROR(VLOOKUP(A47,'#level_value'!$A$2:$H$9999,4,FALSE),"")</f>
        <v>NoRunner</v>
      </c>
      <c r="L47" s="10" t="str">
        <f>IFERROR(VLOOKUP(A47,'#level_value'!$A$2:$H$9999,7,FALSE),"")</f>
        <v>[0,0,0,0,0]</v>
      </c>
      <c r="M47" s="10" t="str">
        <f>IFERROR(VLOOKUP(A47,'#level_value'!$A$2:$H$9999,8,FALSE),"")</f>
        <v>[10,16,22,34,50]</v>
      </c>
      <c r="N47" s="10" t="str">
        <f>IFERROR(VLOOKUP(B47,'#level_value'!$A$2:$H$9999,3,FALSE),"")</f>
        <v>HittingSpeed</v>
      </c>
      <c r="O47" s="10" t="str">
        <f>IFERROR(VLOOKUP(B47,'#level_value'!$A$2:$H$9999,4,FALSE),"")</f>
        <v>MainActivated</v>
      </c>
      <c r="P47" s="10" t="str">
        <f>IFERROR(VLOOKUP(B47,'#level_value'!$A$2:$H$9999,7,FALSE),"")</f>
        <v>[0,0,0,0,0]</v>
      </c>
      <c r="Q47" s="10" t="str">
        <f>IFERROR(VLOOKUP(B47,'#level_value'!$A$2:$H$9999,8,FALSE),"")</f>
        <v>[30000,50000,70000,100000,150000]</v>
      </c>
      <c r="R47" s="10" t="str">
        <f>IFERROR(VLOOKUP(C47,'#level_value'!$A$2:$H$9999,3,FALSE),"")</f>
        <v/>
      </c>
      <c r="S47" s="10" t="str">
        <f>IFERROR(VLOOKUP(C47,'#level_value'!$A$2:$H$9999,4,FALSE),"")</f>
        <v/>
      </c>
      <c r="T47" s="10" t="str">
        <f>IFERROR(VLOOKUP(C47,'#level_value'!$A$2:$H$9999,7,FALSE),"")</f>
        <v/>
      </c>
      <c r="U47" s="10" t="str">
        <f>IFERROR(VLOOKUP(C47,'#level_value'!$A$2:$H$9999,8,FALSE),"")</f>
        <v/>
      </c>
    </row>
    <row r="48" ht="16.5" customHeight="1">
      <c r="A48" s="14">
        <v>10101.0</v>
      </c>
      <c r="B48" s="6">
        <f t="shared" ref="B48:C48" si="50">A48+10000</f>
        <v>20101</v>
      </c>
      <c r="C48" s="6">
        <f t="shared" si="50"/>
        <v>30101</v>
      </c>
      <c r="D48" s="7" t="str">
        <f t="shared" si="3"/>
        <v>SkillName.10101</v>
      </c>
      <c r="E48" s="8" t="s">
        <v>113</v>
      </c>
      <c r="F48" s="7" t="str">
        <f t="shared" si="4"/>
        <v>SkillDesc.10101</v>
      </c>
      <c r="G48" s="13" t="s">
        <v>114</v>
      </c>
      <c r="H48" s="13"/>
      <c r="I48" s="10" t="s">
        <v>115</v>
      </c>
      <c r="J48" s="10" t="str">
        <f>IFERROR(VLOOKUP(A48,'#level_value'!$A$2:$H$9999,3,FALSE),"")</f>
        <v>AllHitting</v>
      </c>
      <c r="K48" s="10" t="str">
        <f>IFERROR(VLOOKUP(A48,'#level_value'!$A$2:$H$9999,4,FALSE),"")</f>
        <v>ResultOut</v>
      </c>
      <c r="L48" s="10" t="str">
        <f>IFERROR(VLOOKUP(A48,'#level_value'!$A$2:$H$9999,7,FALSE),"")</f>
        <v>[0,0,0,0,0]</v>
      </c>
      <c r="M48" s="10" t="str">
        <f>IFERROR(VLOOKUP(A48,'#level_value'!$A$2:$H$9999,8,FALSE),"")</f>
        <v>[5,8,14,20,30]</v>
      </c>
      <c r="N48" s="10" t="str">
        <f>IFERROR(VLOOKUP(B48,'#level_value'!$A$2:$H$9999,3,FALSE),"")</f>
        <v/>
      </c>
      <c r="O48" s="10" t="str">
        <f>IFERROR(VLOOKUP(B48,'#level_value'!$A$2:$H$9999,4,FALSE),"")</f>
        <v/>
      </c>
      <c r="P48" s="10" t="str">
        <f>IFERROR(VLOOKUP(B48,'#level_value'!$A$2:$H$9999,7,FALSE),"")</f>
        <v/>
      </c>
      <c r="Q48" s="10" t="str">
        <f>IFERROR(VLOOKUP(B48,'#level_value'!$A$2:$H$9999,8,FALSE),"")</f>
        <v/>
      </c>
      <c r="R48" s="10" t="str">
        <f>IFERROR(VLOOKUP(C48,'#level_value'!$A$2:$H$9999,3,FALSE),"")</f>
        <v/>
      </c>
      <c r="S48" s="10" t="str">
        <f>IFERROR(VLOOKUP(C48,'#level_value'!$A$2:$H$9999,4,FALSE),"")</f>
        <v/>
      </c>
      <c r="T48" s="10" t="str">
        <f>IFERROR(VLOOKUP(C48,'#level_value'!$A$2:$H$9999,7,FALSE),"")</f>
        <v/>
      </c>
      <c r="U48" s="10" t="str">
        <f>IFERROR(VLOOKUP(C48,'#level_value'!$A$2:$H$9999,8,FALSE),"")</f>
        <v/>
      </c>
    </row>
    <row r="49" ht="16.5" customHeight="1">
      <c r="A49" s="15">
        <f t="shared" ref="A49:A70" si="52">A48+1</f>
        <v>10102</v>
      </c>
      <c r="B49" s="6">
        <f t="shared" ref="B49:C49" si="51">A49+10000</f>
        <v>20102</v>
      </c>
      <c r="C49" s="6">
        <f t="shared" si="51"/>
        <v>30102</v>
      </c>
      <c r="D49" s="7" t="str">
        <f t="shared" si="3"/>
        <v>SkillName.10102</v>
      </c>
      <c r="E49" s="8" t="s">
        <v>116</v>
      </c>
      <c r="F49" s="7" t="str">
        <f t="shared" si="4"/>
        <v>SkillDesc.10102</v>
      </c>
      <c r="G49" s="13" t="s">
        <v>114</v>
      </c>
      <c r="H49" s="7"/>
      <c r="I49" s="10" t="s">
        <v>115</v>
      </c>
      <c r="J49" s="10" t="str">
        <f>IFERROR(VLOOKUP(A49,'#level_value'!$A$2:$H$9999,3,FALSE),"")</f>
        <v>AllHitting</v>
      </c>
      <c r="K49" s="10" t="str">
        <f>IFERROR(VLOOKUP(A49,'#level_value'!$A$2:$H$9999,4,FALSE),"")</f>
        <v>ResultOut</v>
      </c>
      <c r="L49" s="10" t="str">
        <f>IFERROR(VLOOKUP(A49,'#level_value'!$A$2:$H$9999,7,FALSE),"")</f>
        <v>[0,0,0,0,0]</v>
      </c>
      <c r="M49" s="10" t="str">
        <f>IFERROR(VLOOKUP(A49,'#level_value'!$A$2:$H$9999,8,FALSE),"")</f>
        <v>[10,16,22,34,50]</v>
      </c>
      <c r="N49" s="10" t="str">
        <f>IFERROR(VLOOKUP(B49,'#level_value'!$A$2:$H$9999,3,FALSE),"")</f>
        <v/>
      </c>
      <c r="O49" s="10" t="str">
        <f>IFERROR(VLOOKUP(B49,'#level_value'!$A$2:$H$9999,4,FALSE),"")</f>
        <v/>
      </c>
      <c r="P49" s="10" t="str">
        <f>IFERROR(VLOOKUP(B49,'#level_value'!$A$2:$H$9999,7,FALSE),"")</f>
        <v/>
      </c>
      <c r="Q49" s="10" t="str">
        <f>IFERROR(VLOOKUP(B49,'#level_value'!$A$2:$H$9999,8,FALSE),"")</f>
        <v/>
      </c>
      <c r="R49" s="10" t="str">
        <f>IFERROR(VLOOKUP(C49,'#level_value'!$A$2:$H$9999,3,FALSE),"")</f>
        <v/>
      </c>
      <c r="S49" s="10" t="str">
        <f>IFERROR(VLOOKUP(C49,'#level_value'!$A$2:$H$9999,4,FALSE),"")</f>
        <v/>
      </c>
      <c r="T49" s="10" t="str">
        <f>IFERROR(VLOOKUP(C49,'#level_value'!$A$2:$H$9999,7,FALSE),"")</f>
        <v/>
      </c>
      <c r="U49" s="10" t="str">
        <f>IFERROR(VLOOKUP(C49,'#level_value'!$A$2:$H$9999,8,FALSE),"")</f>
        <v/>
      </c>
    </row>
    <row r="50" ht="16.5" customHeight="1">
      <c r="A50" s="15">
        <f t="shared" si="52"/>
        <v>10103</v>
      </c>
      <c r="B50" s="6">
        <f t="shared" ref="B50:C50" si="53">A50+10000</f>
        <v>20103</v>
      </c>
      <c r="C50" s="6">
        <f t="shared" si="53"/>
        <v>30103</v>
      </c>
      <c r="D50" s="7" t="str">
        <f t="shared" si="3"/>
        <v>SkillName.10103</v>
      </c>
      <c r="E50" s="8" t="s">
        <v>117</v>
      </c>
      <c r="F50" s="7" t="str">
        <f t="shared" si="4"/>
        <v>SkillDesc.10103</v>
      </c>
      <c r="G50" s="13" t="s">
        <v>114</v>
      </c>
      <c r="H50" s="7"/>
      <c r="I50" s="10" t="s">
        <v>115</v>
      </c>
      <c r="J50" s="10" t="str">
        <f>IFERROR(VLOOKUP(A50,'#level_value'!$A$2:$H$9999,3,FALSE),"")</f>
        <v>AllHitting</v>
      </c>
      <c r="K50" s="10" t="str">
        <f>IFERROR(VLOOKUP(A50,'#level_value'!$A$2:$H$9999,4,FALSE),"")</f>
        <v>ResultOut</v>
      </c>
      <c r="L50" s="10" t="str">
        <f>IFERROR(VLOOKUP(A50,'#level_value'!$A$2:$H$9999,7,FALSE),"")</f>
        <v>[0,0,0,0,0]</v>
      </c>
      <c r="M50" s="10" t="str">
        <f>IFERROR(VLOOKUP(A50,'#level_value'!$A$2:$H$9999,8,FALSE),"")</f>
        <v>[10,16,22,34,50]</v>
      </c>
      <c r="N50" s="10" t="str">
        <f>IFERROR(VLOOKUP(B50,'#level_value'!$A$2:$H$9999,3,FALSE),"")</f>
        <v/>
      </c>
      <c r="O50" s="10" t="str">
        <f>IFERROR(VLOOKUP(B50,'#level_value'!$A$2:$H$9999,4,FALSE),"")</f>
        <v/>
      </c>
      <c r="P50" s="10" t="str">
        <f>IFERROR(VLOOKUP(B50,'#level_value'!$A$2:$H$9999,7,FALSE),"")</f>
        <v/>
      </c>
      <c r="Q50" s="10" t="str">
        <f>IFERROR(VLOOKUP(B50,'#level_value'!$A$2:$H$9999,8,FALSE),"")</f>
        <v/>
      </c>
      <c r="R50" s="10" t="str">
        <f>IFERROR(VLOOKUP(C50,'#level_value'!$A$2:$H$9999,3,FALSE),"")</f>
        <v/>
      </c>
      <c r="S50" s="10" t="str">
        <f>IFERROR(VLOOKUP(C50,'#level_value'!$A$2:$H$9999,4,FALSE),"")</f>
        <v/>
      </c>
      <c r="T50" s="10" t="str">
        <f>IFERROR(VLOOKUP(C50,'#level_value'!$A$2:$H$9999,7,FALSE),"")</f>
        <v/>
      </c>
      <c r="U50" s="10" t="str">
        <f>IFERROR(VLOOKUP(C50,'#level_value'!$A$2:$H$9999,8,FALSE),"")</f>
        <v/>
      </c>
    </row>
    <row r="51" ht="16.5" customHeight="1">
      <c r="A51" s="15">
        <f t="shared" si="52"/>
        <v>10104</v>
      </c>
      <c r="B51" s="6">
        <f t="shared" ref="B51:C51" si="54">A51+10000</f>
        <v>20104</v>
      </c>
      <c r="C51" s="6">
        <f t="shared" si="54"/>
        <v>30104</v>
      </c>
      <c r="D51" s="7" t="str">
        <f t="shared" si="3"/>
        <v>SkillName.10104</v>
      </c>
      <c r="E51" s="8" t="s">
        <v>118</v>
      </c>
      <c r="F51" s="7" t="str">
        <f t="shared" si="4"/>
        <v>SkillDesc.10104</v>
      </c>
      <c r="G51" s="13" t="s">
        <v>119</v>
      </c>
      <c r="H51" s="7"/>
      <c r="I51" s="10" t="s">
        <v>115</v>
      </c>
      <c r="J51" s="10" t="str">
        <f>IFERROR(VLOOKUP(A51,'#level_value'!$A$2:$H$9999,3,FALSE),"")</f>
        <v>AllHitting</v>
      </c>
      <c r="K51" s="10" t="str">
        <f>IFERROR(VLOOKUP(A51,'#level_value'!$A$2:$H$9999,4,FALSE),"")</f>
        <v>ResultHit</v>
      </c>
      <c r="L51" s="10" t="str">
        <f>IFERROR(VLOOKUP(A51,'#level_value'!$A$2:$H$9999,7,FALSE),"")</f>
        <v>[0,0,0,0,0]</v>
      </c>
      <c r="M51" s="10" t="str">
        <f>IFERROR(VLOOKUP(A51,'#level_value'!$A$2:$H$9999,8,FALSE),"")</f>
        <v>[5,8,14,20,30]</v>
      </c>
      <c r="N51" s="10" t="str">
        <f>IFERROR(VLOOKUP(B51,'#level_value'!$A$2:$H$9999,3,FALSE),"")</f>
        <v/>
      </c>
      <c r="O51" s="10" t="str">
        <f>IFERROR(VLOOKUP(B51,'#level_value'!$A$2:$H$9999,4,FALSE),"")</f>
        <v/>
      </c>
      <c r="P51" s="10" t="str">
        <f>IFERROR(VLOOKUP(B51,'#level_value'!$A$2:$H$9999,7,FALSE),"")</f>
        <v/>
      </c>
      <c r="Q51" s="10" t="str">
        <f>IFERROR(VLOOKUP(B51,'#level_value'!$A$2:$H$9999,8,FALSE),"")</f>
        <v/>
      </c>
      <c r="R51" s="10" t="str">
        <f>IFERROR(VLOOKUP(C51,'#level_value'!$A$2:$H$9999,3,FALSE),"")</f>
        <v/>
      </c>
      <c r="S51" s="10" t="str">
        <f>IFERROR(VLOOKUP(C51,'#level_value'!$A$2:$H$9999,4,FALSE),"")</f>
        <v/>
      </c>
      <c r="T51" s="10" t="str">
        <f>IFERROR(VLOOKUP(C51,'#level_value'!$A$2:$H$9999,7,FALSE),"")</f>
        <v/>
      </c>
      <c r="U51" s="10" t="str">
        <f>IFERROR(VLOOKUP(C51,'#level_value'!$A$2:$H$9999,8,FALSE),"")</f>
        <v/>
      </c>
    </row>
    <row r="52" ht="16.5" customHeight="1">
      <c r="A52" s="15">
        <f t="shared" si="52"/>
        <v>10105</v>
      </c>
      <c r="B52" s="6">
        <f t="shared" ref="B52:C52" si="55">A52+10000</f>
        <v>20105</v>
      </c>
      <c r="C52" s="6">
        <f t="shared" si="55"/>
        <v>30105</v>
      </c>
      <c r="D52" s="7" t="str">
        <f t="shared" si="3"/>
        <v>SkillName.10105</v>
      </c>
      <c r="E52" s="8" t="s">
        <v>120</v>
      </c>
      <c r="F52" s="7" t="str">
        <f t="shared" si="4"/>
        <v>SkillDesc.10105</v>
      </c>
      <c r="G52" s="13" t="s">
        <v>119</v>
      </c>
      <c r="H52" s="7"/>
      <c r="I52" s="10" t="s">
        <v>115</v>
      </c>
      <c r="J52" s="10" t="str">
        <f>IFERROR(VLOOKUP(A52,'#level_value'!$A$2:$H$9999,3,FALSE),"")</f>
        <v>AllHitting</v>
      </c>
      <c r="K52" s="10" t="str">
        <f>IFERROR(VLOOKUP(A52,'#level_value'!$A$2:$H$9999,4,FALSE),"")</f>
        <v>ResultHit</v>
      </c>
      <c r="L52" s="10" t="str">
        <f>IFERROR(VLOOKUP(A52,'#level_value'!$A$2:$H$9999,7,FALSE),"")</f>
        <v>[0,0,0,0,0]</v>
      </c>
      <c r="M52" s="10" t="str">
        <f>IFERROR(VLOOKUP(A52,'#level_value'!$A$2:$H$9999,8,FALSE),"")</f>
        <v>[10,16,22,34,50]</v>
      </c>
      <c r="N52" s="10" t="str">
        <f>IFERROR(VLOOKUP(B52,'#level_value'!$A$2:$H$9999,3,FALSE),"")</f>
        <v/>
      </c>
      <c r="O52" s="10" t="str">
        <f>IFERROR(VLOOKUP(B52,'#level_value'!$A$2:$H$9999,4,FALSE),"")</f>
        <v/>
      </c>
      <c r="P52" s="10" t="str">
        <f>IFERROR(VLOOKUP(B52,'#level_value'!$A$2:$H$9999,7,FALSE),"")</f>
        <v/>
      </c>
      <c r="Q52" s="10" t="str">
        <f>IFERROR(VLOOKUP(B52,'#level_value'!$A$2:$H$9999,8,FALSE),"")</f>
        <v/>
      </c>
      <c r="R52" s="10" t="str">
        <f>IFERROR(VLOOKUP(C52,'#level_value'!$A$2:$H$9999,3,FALSE),"")</f>
        <v/>
      </c>
      <c r="S52" s="10" t="str">
        <f>IFERROR(VLOOKUP(C52,'#level_value'!$A$2:$H$9999,4,FALSE),"")</f>
        <v/>
      </c>
      <c r="T52" s="10" t="str">
        <f>IFERROR(VLOOKUP(C52,'#level_value'!$A$2:$H$9999,7,FALSE),"")</f>
        <v/>
      </c>
      <c r="U52" s="10" t="str">
        <f>IFERROR(VLOOKUP(C52,'#level_value'!$A$2:$H$9999,8,FALSE),"")</f>
        <v/>
      </c>
    </row>
    <row r="53" ht="16.5" customHeight="1">
      <c r="A53" s="15">
        <f t="shared" si="52"/>
        <v>10106</v>
      </c>
      <c r="B53" s="6">
        <f t="shared" ref="B53:C53" si="56">A53+10000</f>
        <v>20106</v>
      </c>
      <c r="C53" s="6">
        <f t="shared" si="56"/>
        <v>30106</v>
      </c>
      <c r="D53" s="7" t="str">
        <f t="shared" si="3"/>
        <v>SkillName.10106</v>
      </c>
      <c r="E53" s="8" t="s">
        <v>121</v>
      </c>
      <c r="F53" s="7" t="str">
        <f t="shared" si="4"/>
        <v>SkillDesc.10106</v>
      </c>
      <c r="G53" s="13" t="s">
        <v>119</v>
      </c>
      <c r="H53" s="7"/>
      <c r="I53" s="10" t="s">
        <v>115</v>
      </c>
      <c r="J53" s="10" t="str">
        <f>IFERROR(VLOOKUP(A53,'#level_value'!$A$2:$H$9999,3,FALSE),"")</f>
        <v>AllHitting</v>
      </c>
      <c r="K53" s="10" t="str">
        <f>IFERROR(VLOOKUP(A53,'#level_value'!$A$2:$H$9999,4,FALSE),"")</f>
        <v>ResultHit</v>
      </c>
      <c r="L53" s="10" t="str">
        <f>IFERROR(VLOOKUP(A53,'#level_value'!$A$2:$H$9999,7,FALSE),"")</f>
        <v>[0,0,0,0,0]</v>
      </c>
      <c r="M53" s="10" t="str">
        <f>IFERROR(VLOOKUP(A53,'#level_value'!$A$2:$H$9999,8,FALSE),"")</f>
        <v>[10,16,22,34,50]</v>
      </c>
      <c r="N53" s="10" t="str">
        <f>IFERROR(VLOOKUP(B53,'#level_value'!$A$2:$H$9999,3,FALSE),"")</f>
        <v/>
      </c>
      <c r="O53" s="10" t="str">
        <f>IFERROR(VLOOKUP(B53,'#level_value'!$A$2:$H$9999,4,FALSE),"")</f>
        <v/>
      </c>
      <c r="P53" s="10" t="str">
        <f>IFERROR(VLOOKUP(B53,'#level_value'!$A$2:$H$9999,7,FALSE),"")</f>
        <v/>
      </c>
      <c r="Q53" s="10" t="str">
        <f>IFERROR(VLOOKUP(B53,'#level_value'!$A$2:$H$9999,8,FALSE),"")</f>
        <v/>
      </c>
      <c r="R53" s="10" t="str">
        <f>IFERROR(VLOOKUP(C53,'#level_value'!$A$2:$H$9999,3,FALSE),"")</f>
        <v/>
      </c>
      <c r="S53" s="10" t="str">
        <f>IFERROR(VLOOKUP(C53,'#level_value'!$A$2:$H$9999,4,FALSE),"")</f>
        <v/>
      </c>
      <c r="T53" s="10" t="str">
        <f>IFERROR(VLOOKUP(C53,'#level_value'!$A$2:$H$9999,7,FALSE),"")</f>
        <v/>
      </c>
      <c r="U53" s="10" t="str">
        <f>IFERROR(VLOOKUP(C53,'#level_value'!$A$2:$H$9999,8,FALSE),"")</f>
        <v/>
      </c>
    </row>
    <row r="54" ht="16.5" customHeight="1">
      <c r="A54" s="15">
        <f t="shared" si="52"/>
        <v>10107</v>
      </c>
      <c r="B54" s="6">
        <f t="shared" ref="B54:C54" si="57">A54+10000</f>
        <v>20107</v>
      </c>
      <c r="C54" s="6">
        <f t="shared" si="57"/>
        <v>30107</v>
      </c>
      <c r="D54" s="7" t="str">
        <f t="shared" si="3"/>
        <v>SkillName.10107</v>
      </c>
      <c r="E54" s="8" t="s">
        <v>122</v>
      </c>
      <c r="F54" s="7" t="str">
        <f t="shared" si="4"/>
        <v>SkillDesc.10107</v>
      </c>
      <c r="G54" s="13" t="s">
        <v>123</v>
      </c>
      <c r="H54" s="7"/>
      <c r="I54" s="10" t="s">
        <v>115</v>
      </c>
      <c r="J54" s="10" t="str">
        <f>IFERROR(VLOOKUP(A54,'#level_value'!$A$2:$H$9999,3,FALSE),"")</f>
        <v>AllHitting</v>
      </c>
      <c r="K54" s="10" t="str">
        <f>IFERROR(VLOOKUP(A54,'#level_value'!$A$2:$H$9999,4,FALSE),"")</f>
        <v>Losing1</v>
      </c>
      <c r="L54" s="10" t="str">
        <f>IFERROR(VLOOKUP(A54,'#level_value'!$A$2:$H$9999,7,FALSE),"")</f>
        <v>[0,0,0,0,0]</v>
      </c>
      <c r="M54" s="10" t="str">
        <f>IFERROR(VLOOKUP(A54,'#level_value'!$A$2:$H$9999,8,FALSE),"")</f>
        <v>[5,8,14,20,30]</v>
      </c>
      <c r="N54" s="10" t="str">
        <f>IFERROR(VLOOKUP(B54,'#level_value'!$A$2:$H$9999,3,FALSE),"")</f>
        <v/>
      </c>
      <c r="O54" s="10" t="str">
        <f>IFERROR(VLOOKUP(B54,'#level_value'!$A$2:$H$9999,4,FALSE),"")</f>
        <v/>
      </c>
      <c r="P54" s="10" t="str">
        <f>IFERROR(VLOOKUP(B54,'#level_value'!$A$2:$H$9999,7,FALSE),"")</f>
        <v/>
      </c>
      <c r="Q54" s="10" t="str">
        <f>IFERROR(VLOOKUP(B54,'#level_value'!$A$2:$H$9999,8,FALSE),"")</f>
        <v/>
      </c>
      <c r="R54" s="10" t="str">
        <f>IFERROR(VLOOKUP(C54,'#level_value'!$A$2:$H$9999,3,FALSE),"")</f>
        <v/>
      </c>
      <c r="S54" s="10" t="str">
        <f>IFERROR(VLOOKUP(C54,'#level_value'!$A$2:$H$9999,4,FALSE),"")</f>
        <v/>
      </c>
      <c r="T54" s="10" t="str">
        <f>IFERROR(VLOOKUP(C54,'#level_value'!$A$2:$H$9999,7,FALSE),"")</f>
        <v/>
      </c>
      <c r="U54" s="10" t="str">
        <f>IFERROR(VLOOKUP(C54,'#level_value'!$A$2:$H$9999,8,FALSE),"")</f>
        <v/>
      </c>
    </row>
    <row r="55" ht="16.5" customHeight="1">
      <c r="A55" s="15">
        <f t="shared" si="52"/>
        <v>10108</v>
      </c>
      <c r="B55" s="6">
        <f t="shared" ref="B55:C55" si="58">A55+10000</f>
        <v>20108</v>
      </c>
      <c r="C55" s="6">
        <f t="shared" si="58"/>
        <v>30108</v>
      </c>
      <c r="D55" s="7" t="str">
        <f t="shared" si="3"/>
        <v>SkillName.10108</v>
      </c>
      <c r="E55" s="8" t="s">
        <v>124</v>
      </c>
      <c r="F55" s="7" t="str">
        <f t="shared" si="4"/>
        <v>SkillDesc.10108</v>
      </c>
      <c r="G55" s="13" t="s">
        <v>123</v>
      </c>
      <c r="H55" s="7"/>
      <c r="I55" s="10" t="s">
        <v>115</v>
      </c>
      <c r="J55" s="10" t="str">
        <f>IFERROR(VLOOKUP(A55,'#level_value'!$A$2:$H$9999,3,FALSE),"")</f>
        <v>AllHitting</v>
      </c>
      <c r="K55" s="10" t="str">
        <f>IFERROR(VLOOKUP(A55,'#level_value'!$A$2:$H$9999,4,FALSE),"")</f>
        <v>Losing1</v>
      </c>
      <c r="L55" s="10" t="str">
        <f>IFERROR(VLOOKUP(A55,'#level_value'!$A$2:$H$9999,7,FALSE),"")</f>
        <v>[0,0,0,0,0]</v>
      </c>
      <c r="M55" s="10" t="str">
        <f>IFERROR(VLOOKUP(A55,'#level_value'!$A$2:$H$9999,8,FALSE),"")</f>
        <v>[10,16,22,34,50]</v>
      </c>
      <c r="N55" s="10" t="str">
        <f>IFERROR(VLOOKUP(B55,'#level_value'!$A$2:$H$9999,3,FALSE),"")</f>
        <v/>
      </c>
      <c r="O55" s="10" t="str">
        <f>IFERROR(VLOOKUP(B55,'#level_value'!$A$2:$H$9999,4,FALSE),"")</f>
        <v/>
      </c>
      <c r="P55" s="10" t="str">
        <f>IFERROR(VLOOKUP(B55,'#level_value'!$A$2:$H$9999,7,FALSE),"")</f>
        <v/>
      </c>
      <c r="Q55" s="10" t="str">
        <f>IFERROR(VLOOKUP(B55,'#level_value'!$A$2:$H$9999,8,FALSE),"")</f>
        <v/>
      </c>
      <c r="R55" s="10" t="str">
        <f>IFERROR(VLOOKUP(C55,'#level_value'!$A$2:$H$9999,3,FALSE),"")</f>
        <v/>
      </c>
      <c r="S55" s="10" t="str">
        <f>IFERROR(VLOOKUP(C55,'#level_value'!$A$2:$H$9999,4,FALSE),"")</f>
        <v/>
      </c>
      <c r="T55" s="10" t="str">
        <f>IFERROR(VLOOKUP(C55,'#level_value'!$A$2:$H$9999,7,FALSE),"")</f>
        <v/>
      </c>
      <c r="U55" s="10" t="str">
        <f>IFERROR(VLOOKUP(C55,'#level_value'!$A$2:$H$9999,8,FALSE),"")</f>
        <v/>
      </c>
    </row>
    <row r="56" ht="16.5" customHeight="1">
      <c r="A56" s="15">
        <f t="shared" si="52"/>
        <v>10109</v>
      </c>
      <c r="B56" s="6">
        <f t="shared" ref="B56:C56" si="59">A56+10000</f>
        <v>20109</v>
      </c>
      <c r="C56" s="6">
        <f t="shared" si="59"/>
        <v>30109</v>
      </c>
      <c r="D56" s="7" t="str">
        <f t="shared" si="3"/>
        <v>SkillName.10109</v>
      </c>
      <c r="E56" s="8" t="s">
        <v>125</v>
      </c>
      <c r="F56" s="7" t="str">
        <f t="shared" si="4"/>
        <v>SkillDesc.10109</v>
      </c>
      <c r="G56" s="13" t="s">
        <v>123</v>
      </c>
      <c r="H56" s="7"/>
      <c r="I56" s="10" t="s">
        <v>115</v>
      </c>
      <c r="J56" s="10" t="str">
        <f>IFERROR(VLOOKUP(A56,'#level_value'!$A$2:$H$9999,3,FALSE),"")</f>
        <v>AllHitting</v>
      </c>
      <c r="K56" s="10" t="str">
        <f>IFERROR(VLOOKUP(A56,'#level_value'!$A$2:$H$9999,4,FALSE),"")</f>
        <v>Losing1</v>
      </c>
      <c r="L56" s="10" t="str">
        <f>IFERROR(VLOOKUP(A56,'#level_value'!$A$2:$H$9999,7,FALSE),"")</f>
        <v>[0,0,0,0,0]</v>
      </c>
      <c r="M56" s="10" t="str">
        <f>IFERROR(VLOOKUP(A56,'#level_value'!$A$2:$H$9999,8,FALSE),"")</f>
        <v>[10,16,22,34,50]</v>
      </c>
      <c r="N56" s="10" t="str">
        <f>IFERROR(VLOOKUP(B56,'#level_value'!$A$2:$H$9999,3,FALSE),"")</f>
        <v/>
      </c>
      <c r="O56" s="10" t="str">
        <f>IFERROR(VLOOKUP(B56,'#level_value'!$A$2:$H$9999,4,FALSE),"")</f>
        <v/>
      </c>
      <c r="P56" s="10" t="str">
        <f>IFERROR(VLOOKUP(B56,'#level_value'!$A$2:$H$9999,7,FALSE),"")</f>
        <v/>
      </c>
      <c r="Q56" s="10" t="str">
        <f>IFERROR(VLOOKUP(B56,'#level_value'!$A$2:$H$9999,8,FALSE),"")</f>
        <v/>
      </c>
      <c r="R56" s="10" t="str">
        <f>IFERROR(VLOOKUP(C56,'#level_value'!$A$2:$H$9999,3,FALSE),"")</f>
        <v/>
      </c>
      <c r="S56" s="10" t="str">
        <f>IFERROR(VLOOKUP(C56,'#level_value'!$A$2:$H$9999,4,FALSE),"")</f>
        <v/>
      </c>
      <c r="T56" s="10" t="str">
        <f>IFERROR(VLOOKUP(C56,'#level_value'!$A$2:$H$9999,7,FALSE),"")</f>
        <v/>
      </c>
      <c r="U56" s="10" t="str">
        <f>IFERROR(VLOOKUP(C56,'#level_value'!$A$2:$H$9999,8,FALSE),"")</f>
        <v/>
      </c>
    </row>
    <row r="57" ht="16.5" customHeight="1">
      <c r="A57" s="15">
        <f t="shared" si="52"/>
        <v>10110</v>
      </c>
      <c r="B57" s="6">
        <f t="shared" ref="B57:C57" si="60">A57+10000</f>
        <v>20110</v>
      </c>
      <c r="C57" s="6">
        <f t="shared" si="60"/>
        <v>30110</v>
      </c>
      <c r="D57" s="7" t="str">
        <f t="shared" si="3"/>
        <v>SkillName.10110</v>
      </c>
      <c r="E57" s="8" t="s">
        <v>126</v>
      </c>
      <c r="F57" s="7" t="str">
        <f t="shared" si="4"/>
        <v>SkillDesc.10110</v>
      </c>
      <c r="G57" s="13" t="s">
        <v>127</v>
      </c>
      <c r="H57" s="7"/>
      <c r="I57" s="10" t="s">
        <v>115</v>
      </c>
      <c r="J57" s="10" t="str">
        <f>IFERROR(VLOOKUP(A57,'#level_value'!$A$2:$H$9999,3,FALSE),"")</f>
        <v>AllHitting</v>
      </c>
      <c r="K57" s="10" t="str">
        <f>IFERROR(VLOOKUP(A57,'#level_value'!$A$2:$H$9999,4,FALSE),"")</f>
        <v>Winning1</v>
      </c>
      <c r="L57" s="10" t="str">
        <f>IFERROR(VLOOKUP(A57,'#level_value'!$A$2:$H$9999,7,FALSE),"")</f>
        <v>[0,0,0,0,0]</v>
      </c>
      <c r="M57" s="10" t="str">
        <f>IFERROR(VLOOKUP(A57,'#level_value'!$A$2:$H$9999,8,FALSE),"")</f>
        <v>[5,8,14,20,30]</v>
      </c>
      <c r="N57" s="10" t="str">
        <f>IFERROR(VLOOKUP(B57,'#level_value'!$A$2:$H$9999,3,FALSE),"")</f>
        <v/>
      </c>
      <c r="O57" s="10" t="str">
        <f>IFERROR(VLOOKUP(B57,'#level_value'!$A$2:$H$9999,4,FALSE),"")</f>
        <v/>
      </c>
      <c r="P57" s="10" t="str">
        <f>IFERROR(VLOOKUP(B57,'#level_value'!$A$2:$H$9999,7,FALSE),"")</f>
        <v/>
      </c>
      <c r="Q57" s="10" t="str">
        <f>IFERROR(VLOOKUP(B57,'#level_value'!$A$2:$H$9999,8,FALSE),"")</f>
        <v/>
      </c>
      <c r="R57" s="10" t="str">
        <f>IFERROR(VLOOKUP(C57,'#level_value'!$A$2:$H$9999,3,FALSE),"")</f>
        <v/>
      </c>
      <c r="S57" s="10" t="str">
        <f>IFERROR(VLOOKUP(C57,'#level_value'!$A$2:$H$9999,4,FALSE),"")</f>
        <v/>
      </c>
      <c r="T57" s="10" t="str">
        <f>IFERROR(VLOOKUP(C57,'#level_value'!$A$2:$H$9999,7,FALSE),"")</f>
        <v/>
      </c>
      <c r="U57" s="10" t="str">
        <f>IFERROR(VLOOKUP(C57,'#level_value'!$A$2:$H$9999,8,FALSE),"")</f>
        <v/>
      </c>
    </row>
    <row r="58" ht="16.5" customHeight="1">
      <c r="A58" s="15">
        <f t="shared" si="52"/>
        <v>10111</v>
      </c>
      <c r="B58" s="6">
        <f t="shared" ref="B58:C58" si="61">A58+10000</f>
        <v>20111</v>
      </c>
      <c r="C58" s="6">
        <f t="shared" si="61"/>
        <v>30111</v>
      </c>
      <c r="D58" s="7" t="str">
        <f t="shared" si="3"/>
        <v>SkillName.10111</v>
      </c>
      <c r="E58" s="8" t="s">
        <v>128</v>
      </c>
      <c r="F58" s="7" t="str">
        <f t="shared" si="4"/>
        <v>SkillDesc.10111</v>
      </c>
      <c r="G58" s="13" t="s">
        <v>127</v>
      </c>
      <c r="H58" s="7"/>
      <c r="I58" s="10" t="s">
        <v>115</v>
      </c>
      <c r="J58" s="10" t="str">
        <f>IFERROR(VLOOKUP(A58,'#level_value'!$A$2:$H$9999,3,FALSE),"")</f>
        <v>AllHitting</v>
      </c>
      <c r="K58" s="10" t="str">
        <f>IFERROR(VLOOKUP(A58,'#level_value'!$A$2:$H$9999,4,FALSE),"")</f>
        <v>Winning1</v>
      </c>
      <c r="L58" s="10" t="str">
        <f>IFERROR(VLOOKUP(A58,'#level_value'!$A$2:$H$9999,7,FALSE),"")</f>
        <v>[0,0,0,0,0]</v>
      </c>
      <c r="M58" s="10" t="str">
        <f>IFERROR(VLOOKUP(A58,'#level_value'!$A$2:$H$9999,8,FALSE),"")</f>
        <v>[10,16,22,34,50]</v>
      </c>
      <c r="N58" s="10" t="str">
        <f>IFERROR(VLOOKUP(B58,'#level_value'!$A$2:$H$9999,3,FALSE),"")</f>
        <v/>
      </c>
      <c r="O58" s="10" t="str">
        <f>IFERROR(VLOOKUP(B58,'#level_value'!$A$2:$H$9999,4,FALSE),"")</f>
        <v/>
      </c>
      <c r="P58" s="10" t="str">
        <f>IFERROR(VLOOKUP(B58,'#level_value'!$A$2:$H$9999,7,FALSE),"")</f>
        <v/>
      </c>
      <c r="Q58" s="10" t="str">
        <f>IFERROR(VLOOKUP(B58,'#level_value'!$A$2:$H$9999,8,FALSE),"")</f>
        <v/>
      </c>
      <c r="R58" s="10" t="str">
        <f>IFERROR(VLOOKUP(C58,'#level_value'!$A$2:$H$9999,3,FALSE),"")</f>
        <v/>
      </c>
      <c r="S58" s="10" t="str">
        <f>IFERROR(VLOOKUP(C58,'#level_value'!$A$2:$H$9999,4,FALSE),"")</f>
        <v/>
      </c>
      <c r="T58" s="10" t="str">
        <f>IFERROR(VLOOKUP(C58,'#level_value'!$A$2:$H$9999,7,FALSE),"")</f>
        <v/>
      </c>
      <c r="U58" s="10" t="str">
        <f>IFERROR(VLOOKUP(C58,'#level_value'!$A$2:$H$9999,8,FALSE),"")</f>
        <v/>
      </c>
    </row>
    <row r="59" ht="16.5" customHeight="1">
      <c r="A59" s="15">
        <f t="shared" si="52"/>
        <v>10112</v>
      </c>
      <c r="B59" s="6">
        <f t="shared" ref="B59:C59" si="62">A59+10000</f>
        <v>20112</v>
      </c>
      <c r="C59" s="6">
        <f t="shared" si="62"/>
        <v>30112</v>
      </c>
      <c r="D59" s="7" t="str">
        <f t="shared" si="3"/>
        <v>SkillName.10112</v>
      </c>
      <c r="E59" s="8" t="s">
        <v>129</v>
      </c>
      <c r="F59" s="7" t="str">
        <f t="shared" si="4"/>
        <v>SkillDesc.10112</v>
      </c>
      <c r="G59" s="13" t="s">
        <v>127</v>
      </c>
      <c r="H59" s="7"/>
      <c r="I59" s="10" t="s">
        <v>115</v>
      </c>
      <c r="J59" s="10" t="str">
        <f>IFERROR(VLOOKUP(A59,'#level_value'!$A$2:$H$9999,3,FALSE),"")</f>
        <v>AllHitting</v>
      </c>
      <c r="K59" s="10" t="str">
        <f>IFERROR(VLOOKUP(A59,'#level_value'!$A$2:$H$9999,4,FALSE),"")</f>
        <v>Winning1</v>
      </c>
      <c r="L59" s="10" t="str">
        <f>IFERROR(VLOOKUP(A59,'#level_value'!$A$2:$H$9999,7,FALSE),"")</f>
        <v>[0,0,0,0,0]</v>
      </c>
      <c r="M59" s="10" t="str">
        <f>IFERROR(VLOOKUP(A59,'#level_value'!$A$2:$H$9999,8,FALSE),"")</f>
        <v>[10,16,22,34,50]</v>
      </c>
      <c r="N59" s="10" t="str">
        <f>IFERROR(VLOOKUP(B59,'#level_value'!$A$2:$H$9999,3,FALSE),"")</f>
        <v/>
      </c>
      <c r="O59" s="10" t="str">
        <f>IFERROR(VLOOKUP(B59,'#level_value'!$A$2:$H$9999,4,FALSE),"")</f>
        <v/>
      </c>
      <c r="P59" s="10" t="str">
        <f>IFERROR(VLOOKUP(B59,'#level_value'!$A$2:$H$9999,7,FALSE),"")</f>
        <v/>
      </c>
      <c r="Q59" s="10" t="str">
        <f>IFERROR(VLOOKUP(B59,'#level_value'!$A$2:$H$9999,8,FALSE),"")</f>
        <v/>
      </c>
      <c r="R59" s="10" t="str">
        <f>IFERROR(VLOOKUP(C59,'#level_value'!$A$2:$H$9999,3,FALSE),"")</f>
        <v/>
      </c>
      <c r="S59" s="10" t="str">
        <f>IFERROR(VLOOKUP(C59,'#level_value'!$A$2:$H$9999,4,FALSE),"")</f>
        <v/>
      </c>
      <c r="T59" s="10" t="str">
        <f>IFERROR(VLOOKUP(C59,'#level_value'!$A$2:$H$9999,7,FALSE),"")</f>
        <v/>
      </c>
      <c r="U59" s="10" t="str">
        <f>IFERROR(VLOOKUP(C59,'#level_value'!$A$2:$H$9999,8,FALSE),"")</f>
        <v/>
      </c>
    </row>
    <row r="60" ht="16.5" customHeight="1">
      <c r="A60" s="15">
        <f t="shared" si="52"/>
        <v>10113</v>
      </c>
      <c r="B60" s="6">
        <f t="shared" ref="B60:C60" si="63">A60+10000</f>
        <v>20113</v>
      </c>
      <c r="C60" s="6">
        <f t="shared" si="63"/>
        <v>30113</v>
      </c>
      <c r="D60" s="7" t="str">
        <f t="shared" si="3"/>
        <v>SkillName.10113</v>
      </c>
      <c r="E60" s="8" t="s">
        <v>130</v>
      </c>
      <c r="F60" s="7" t="str">
        <f t="shared" si="4"/>
        <v>SkillDesc.10113</v>
      </c>
      <c r="G60" s="13" t="s">
        <v>131</v>
      </c>
      <c r="H60" s="7"/>
      <c r="I60" s="10" t="s">
        <v>115</v>
      </c>
      <c r="J60" s="10" t="str">
        <f>IFERROR(VLOOKUP(A60,'#level_value'!$A$2:$H$9999,3,FALSE),"")</f>
        <v>AllHitting</v>
      </c>
      <c r="K60" s="10" t="str">
        <f>IFERROR(VLOOKUP(A60,'#level_value'!$A$2:$H$9999,4,FALSE),"")</f>
        <v>FullCount</v>
      </c>
      <c r="L60" s="10" t="str">
        <f>IFERROR(VLOOKUP(A60,'#level_value'!$A$2:$H$9999,7,FALSE),"")</f>
        <v>[0,0,0,0,0]</v>
      </c>
      <c r="M60" s="10" t="str">
        <f>IFERROR(VLOOKUP(A60,'#level_value'!$A$2:$H$9999,8,FALSE),"")</f>
        <v>[10,16,22,34,50]</v>
      </c>
      <c r="N60" s="10" t="str">
        <f>IFERROR(VLOOKUP(B60,'#level_value'!$A$2:$H$9999,3,FALSE),"")</f>
        <v/>
      </c>
      <c r="O60" s="10" t="str">
        <f>IFERROR(VLOOKUP(B60,'#level_value'!$A$2:$H$9999,4,FALSE),"")</f>
        <v/>
      </c>
      <c r="P60" s="10" t="str">
        <f>IFERROR(VLOOKUP(B60,'#level_value'!$A$2:$H$9999,7,FALSE),"")</f>
        <v/>
      </c>
      <c r="Q60" s="10" t="str">
        <f>IFERROR(VLOOKUP(B60,'#level_value'!$A$2:$H$9999,8,FALSE),"")</f>
        <v/>
      </c>
      <c r="R60" s="10" t="str">
        <f>IFERROR(VLOOKUP(C60,'#level_value'!$A$2:$H$9999,3,FALSE),"")</f>
        <v/>
      </c>
      <c r="S60" s="10" t="str">
        <f>IFERROR(VLOOKUP(C60,'#level_value'!$A$2:$H$9999,4,FALSE),"")</f>
        <v/>
      </c>
      <c r="T60" s="10" t="str">
        <f>IFERROR(VLOOKUP(C60,'#level_value'!$A$2:$H$9999,7,FALSE),"")</f>
        <v/>
      </c>
      <c r="U60" s="10" t="str">
        <f>IFERROR(VLOOKUP(C60,'#level_value'!$A$2:$H$9999,8,FALSE),"")</f>
        <v/>
      </c>
    </row>
    <row r="61" ht="16.5" customHeight="1">
      <c r="A61" s="15">
        <f t="shared" si="52"/>
        <v>10114</v>
      </c>
      <c r="B61" s="6">
        <f t="shared" ref="B61:C61" si="64">A61+10000</f>
        <v>20114</v>
      </c>
      <c r="C61" s="6">
        <f t="shared" si="64"/>
        <v>30114</v>
      </c>
      <c r="D61" s="7" t="str">
        <f t="shared" si="3"/>
        <v>SkillName.10114</v>
      </c>
      <c r="E61" s="8" t="s">
        <v>132</v>
      </c>
      <c r="F61" s="7" t="str">
        <f t="shared" si="4"/>
        <v>SkillDesc.10114</v>
      </c>
      <c r="G61" s="13" t="s">
        <v>133</v>
      </c>
      <c r="H61" s="7"/>
      <c r="I61" s="10" t="s">
        <v>115</v>
      </c>
      <c r="J61" s="10" t="str">
        <f>IFERROR(VLOOKUP(A61,'#level_value'!$A$2:$H$9999,3,FALSE),"")</f>
        <v>AllHitting</v>
      </c>
      <c r="K61" s="10" t="str">
        <f>IFERROR(VLOOKUP(A61,'#level_value'!$A$2:$H$9999,4,FALSE),"")</f>
        <v>ResultBB</v>
      </c>
      <c r="L61" s="10" t="str">
        <f>IFERROR(VLOOKUP(A61,'#level_value'!$A$2:$H$9999,7,FALSE),"")</f>
        <v>[0,0,0,0,0]</v>
      </c>
      <c r="M61" s="10" t="str">
        <f>IFERROR(VLOOKUP(A61,'#level_value'!$A$2:$H$9999,8,FALSE),"")</f>
        <v>[10,16,22,34,50]</v>
      </c>
      <c r="N61" s="10" t="str">
        <f>IFERROR(VLOOKUP(B61,'#level_value'!$A$2:$H$9999,3,FALSE),"")</f>
        <v/>
      </c>
      <c r="O61" s="10" t="str">
        <f>IFERROR(VLOOKUP(B61,'#level_value'!$A$2:$H$9999,4,FALSE),"")</f>
        <v/>
      </c>
      <c r="P61" s="10" t="str">
        <f>IFERROR(VLOOKUP(B61,'#level_value'!$A$2:$H$9999,7,FALSE),"")</f>
        <v/>
      </c>
      <c r="Q61" s="10" t="str">
        <f>IFERROR(VLOOKUP(B61,'#level_value'!$A$2:$H$9999,8,FALSE),"")</f>
        <v/>
      </c>
      <c r="R61" s="10" t="str">
        <f>IFERROR(VLOOKUP(C61,'#level_value'!$A$2:$H$9999,3,FALSE),"")</f>
        <v/>
      </c>
      <c r="S61" s="10" t="str">
        <f>IFERROR(VLOOKUP(C61,'#level_value'!$A$2:$H$9999,4,FALSE),"")</f>
        <v/>
      </c>
      <c r="T61" s="10" t="str">
        <f>IFERROR(VLOOKUP(C61,'#level_value'!$A$2:$H$9999,7,FALSE),"")</f>
        <v/>
      </c>
      <c r="U61" s="10" t="str">
        <f>IFERROR(VLOOKUP(C61,'#level_value'!$A$2:$H$9999,8,FALSE),"")</f>
        <v/>
      </c>
    </row>
    <row r="62" ht="16.5" customHeight="1">
      <c r="A62" s="15">
        <f t="shared" si="52"/>
        <v>10115</v>
      </c>
      <c r="B62" s="6">
        <f t="shared" ref="B62:C62" si="65">A62+10000</f>
        <v>20115</v>
      </c>
      <c r="C62" s="6">
        <f t="shared" si="65"/>
        <v>30115</v>
      </c>
      <c r="D62" s="7" t="str">
        <f t="shared" si="3"/>
        <v>SkillName.10115</v>
      </c>
      <c r="E62" s="8" t="s">
        <v>134</v>
      </c>
      <c r="F62" s="7" t="str">
        <f t="shared" si="4"/>
        <v>SkillDesc.10115</v>
      </c>
      <c r="G62" s="13" t="s">
        <v>135</v>
      </c>
      <c r="H62" s="7"/>
      <c r="I62" s="10" t="s">
        <v>115</v>
      </c>
      <c r="J62" s="10" t="str">
        <f>IFERROR(VLOOKUP(A62,'#level_value'!$A$2:$H$9999,3,FALSE),"")</f>
        <v>AllHitting</v>
      </c>
      <c r="K62" s="10" t="str">
        <f>IFERROR(VLOOKUP(A62,'#level_value'!$A$2:$H$9999,4,FALSE),"")</f>
        <v>ResultHR</v>
      </c>
      <c r="L62" s="10" t="str">
        <f>IFERROR(VLOOKUP(A62,'#level_value'!$A$2:$H$9999,7,FALSE),"")</f>
        <v>[0,0,0,0,0]</v>
      </c>
      <c r="M62" s="10" t="str">
        <f>IFERROR(VLOOKUP(A62,'#level_value'!$A$2:$H$9999,8,FALSE),"")</f>
        <v>[10,16,22,34,50]</v>
      </c>
      <c r="N62" s="10" t="str">
        <f>IFERROR(VLOOKUP(B62,'#level_value'!$A$2:$H$9999,3,FALSE),"")</f>
        <v/>
      </c>
      <c r="O62" s="10" t="str">
        <f>IFERROR(VLOOKUP(B62,'#level_value'!$A$2:$H$9999,4,FALSE),"")</f>
        <v/>
      </c>
      <c r="P62" s="10" t="str">
        <f>IFERROR(VLOOKUP(B62,'#level_value'!$A$2:$H$9999,7,FALSE),"")</f>
        <v/>
      </c>
      <c r="Q62" s="10" t="str">
        <f>IFERROR(VLOOKUP(B62,'#level_value'!$A$2:$H$9999,8,FALSE),"")</f>
        <v/>
      </c>
      <c r="R62" s="10" t="str">
        <f>IFERROR(VLOOKUP(C62,'#level_value'!$A$2:$H$9999,3,FALSE),"")</f>
        <v/>
      </c>
      <c r="S62" s="10" t="str">
        <f>IFERROR(VLOOKUP(C62,'#level_value'!$A$2:$H$9999,4,FALSE),"")</f>
        <v/>
      </c>
      <c r="T62" s="10" t="str">
        <f>IFERROR(VLOOKUP(C62,'#level_value'!$A$2:$H$9999,7,FALSE),"")</f>
        <v/>
      </c>
      <c r="U62" s="10" t="str">
        <f>IFERROR(VLOOKUP(C62,'#level_value'!$A$2:$H$9999,8,FALSE),"")</f>
        <v/>
      </c>
    </row>
    <row r="63" ht="16.5" customHeight="1">
      <c r="A63" s="15">
        <f t="shared" si="52"/>
        <v>10116</v>
      </c>
      <c r="B63" s="6">
        <f t="shared" ref="B63:C63" si="66">A63+10000</f>
        <v>20116</v>
      </c>
      <c r="C63" s="6">
        <f t="shared" si="66"/>
        <v>30116</v>
      </c>
      <c r="D63" s="7" t="str">
        <f t="shared" si="3"/>
        <v>SkillName.10116</v>
      </c>
      <c r="E63" s="8" t="s">
        <v>136</v>
      </c>
      <c r="F63" s="7" t="str">
        <f t="shared" si="4"/>
        <v>SkillDesc.10116</v>
      </c>
      <c r="G63" s="13" t="s">
        <v>137</v>
      </c>
      <c r="H63" s="7"/>
      <c r="I63" s="10" t="s">
        <v>115</v>
      </c>
      <c r="J63" s="10" t="str">
        <f>IFERROR(VLOOKUP(A63,'#level_value'!$A$2:$H$9999,3,FALSE),"")</f>
        <v>AllHitting</v>
      </c>
      <c r="K63" s="10" t="str">
        <f>IFERROR(VLOOKUP(A63,'#level_value'!$A$2:$H$9999,4,FALSE),"")</f>
        <v>Chance</v>
      </c>
      <c r="L63" s="10" t="str">
        <f>IFERROR(VLOOKUP(A63,'#level_value'!$A$2:$H$9999,7,FALSE),"")</f>
        <v>[0,0,0,0,0]</v>
      </c>
      <c r="M63" s="10" t="str">
        <f>IFERROR(VLOOKUP(A63,'#level_value'!$A$2:$H$9999,8,FALSE),"")</f>
        <v>[5,8,14,20,30]</v>
      </c>
      <c r="N63" s="10" t="str">
        <f>IFERROR(VLOOKUP(B63,'#level_value'!$A$2:$H$9999,3,FALSE),"")</f>
        <v/>
      </c>
      <c r="O63" s="10" t="str">
        <f>IFERROR(VLOOKUP(B63,'#level_value'!$A$2:$H$9999,4,FALSE),"")</f>
        <v/>
      </c>
      <c r="P63" s="10" t="str">
        <f>IFERROR(VLOOKUP(B63,'#level_value'!$A$2:$H$9999,7,FALSE),"")</f>
        <v/>
      </c>
      <c r="Q63" s="10" t="str">
        <f>IFERROR(VLOOKUP(B63,'#level_value'!$A$2:$H$9999,8,FALSE),"")</f>
        <v/>
      </c>
      <c r="R63" s="10" t="str">
        <f>IFERROR(VLOOKUP(C63,'#level_value'!$A$2:$H$9999,3,FALSE),"")</f>
        <v/>
      </c>
      <c r="S63" s="10" t="str">
        <f>IFERROR(VLOOKUP(C63,'#level_value'!$A$2:$H$9999,4,FALSE),"")</f>
        <v/>
      </c>
      <c r="T63" s="10" t="str">
        <f>IFERROR(VLOOKUP(C63,'#level_value'!$A$2:$H$9999,7,FALSE),"")</f>
        <v/>
      </c>
      <c r="U63" s="10" t="str">
        <f>IFERROR(VLOOKUP(C63,'#level_value'!$A$2:$H$9999,8,FALSE),"")</f>
        <v/>
      </c>
    </row>
    <row r="64" ht="16.5" customHeight="1">
      <c r="A64" s="15">
        <f t="shared" si="52"/>
        <v>10117</v>
      </c>
      <c r="B64" s="6">
        <f t="shared" ref="B64:C64" si="67">A64+10000</f>
        <v>20117</v>
      </c>
      <c r="C64" s="6">
        <f t="shared" si="67"/>
        <v>30117</v>
      </c>
      <c r="D64" s="7" t="str">
        <f t="shared" si="3"/>
        <v>SkillName.10117</v>
      </c>
      <c r="E64" s="8" t="s">
        <v>138</v>
      </c>
      <c r="F64" s="7" t="str">
        <f t="shared" si="4"/>
        <v>SkillDesc.10117</v>
      </c>
      <c r="G64" s="13" t="s">
        <v>137</v>
      </c>
      <c r="H64" s="7"/>
      <c r="I64" s="10" t="s">
        <v>115</v>
      </c>
      <c r="J64" s="10" t="str">
        <f>IFERROR(VLOOKUP(A64,'#level_value'!$A$2:$H$9999,3,FALSE),"")</f>
        <v>AllHitting</v>
      </c>
      <c r="K64" s="10" t="str">
        <f>IFERROR(VLOOKUP(A64,'#level_value'!$A$2:$H$9999,4,FALSE),"")</f>
        <v>Chance</v>
      </c>
      <c r="L64" s="10" t="str">
        <f>IFERROR(VLOOKUP(A64,'#level_value'!$A$2:$H$9999,7,FALSE),"")</f>
        <v>[0,0,0,0,0]</v>
      </c>
      <c r="M64" s="10" t="str">
        <f>IFERROR(VLOOKUP(A64,'#level_value'!$A$2:$H$9999,8,FALSE),"")</f>
        <v>[10,16,22,34,50]</v>
      </c>
      <c r="N64" s="10" t="str">
        <f>IFERROR(VLOOKUP(B64,'#level_value'!$A$2:$H$9999,3,FALSE),"")</f>
        <v/>
      </c>
      <c r="O64" s="10" t="str">
        <f>IFERROR(VLOOKUP(B64,'#level_value'!$A$2:$H$9999,4,FALSE),"")</f>
        <v/>
      </c>
      <c r="P64" s="10" t="str">
        <f>IFERROR(VLOOKUP(B64,'#level_value'!$A$2:$H$9999,7,FALSE),"")</f>
        <v/>
      </c>
      <c r="Q64" s="10" t="str">
        <f>IFERROR(VLOOKUP(B64,'#level_value'!$A$2:$H$9999,8,FALSE),"")</f>
        <v/>
      </c>
      <c r="R64" s="10" t="str">
        <f>IFERROR(VLOOKUP(C64,'#level_value'!$A$2:$H$9999,3,FALSE),"")</f>
        <v/>
      </c>
      <c r="S64" s="10" t="str">
        <f>IFERROR(VLOOKUP(C64,'#level_value'!$A$2:$H$9999,4,FALSE),"")</f>
        <v/>
      </c>
      <c r="T64" s="10" t="str">
        <f>IFERROR(VLOOKUP(C64,'#level_value'!$A$2:$H$9999,7,FALSE),"")</f>
        <v/>
      </c>
      <c r="U64" s="10" t="str">
        <f>IFERROR(VLOOKUP(C64,'#level_value'!$A$2:$H$9999,8,FALSE),"")</f>
        <v/>
      </c>
    </row>
    <row r="65" ht="16.5" customHeight="1">
      <c r="A65" s="15">
        <f t="shared" si="52"/>
        <v>10118</v>
      </c>
      <c r="B65" s="6">
        <f t="shared" ref="B65:C65" si="68">A65+10000</f>
        <v>20118</v>
      </c>
      <c r="C65" s="6">
        <f t="shared" si="68"/>
        <v>30118</v>
      </c>
      <c r="D65" s="7" t="str">
        <f t="shared" si="3"/>
        <v>SkillName.10118</v>
      </c>
      <c r="E65" s="8" t="s">
        <v>139</v>
      </c>
      <c r="F65" s="7" t="str">
        <f t="shared" si="4"/>
        <v>SkillDesc.10118</v>
      </c>
      <c r="G65" s="13" t="s">
        <v>137</v>
      </c>
      <c r="H65" s="7"/>
      <c r="I65" s="10" t="s">
        <v>115</v>
      </c>
      <c r="J65" s="10" t="str">
        <f>IFERROR(VLOOKUP(A65,'#level_value'!$A$2:$H$9999,3,FALSE),"")</f>
        <v>AllHitting</v>
      </c>
      <c r="K65" s="10" t="str">
        <f>IFERROR(VLOOKUP(A65,'#level_value'!$A$2:$H$9999,4,FALSE),"")</f>
        <v>Chance</v>
      </c>
      <c r="L65" s="10" t="str">
        <f>IFERROR(VLOOKUP(A65,'#level_value'!$A$2:$H$9999,7,FALSE),"")</f>
        <v>[0,0,0,0,0]</v>
      </c>
      <c r="M65" s="10" t="str">
        <f>IFERROR(VLOOKUP(A65,'#level_value'!$A$2:$H$9999,8,FALSE),"")</f>
        <v>[10,16,22,34,50]</v>
      </c>
      <c r="N65" s="10" t="str">
        <f>IFERROR(VLOOKUP(B65,'#level_value'!$A$2:$H$9999,3,FALSE),"")</f>
        <v/>
      </c>
      <c r="O65" s="10" t="str">
        <f>IFERROR(VLOOKUP(B65,'#level_value'!$A$2:$H$9999,4,FALSE),"")</f>
        <v/>
      </c>
      <c r="P65" s="10" t="str">
        <f>IFERROR(VLOOKUP(B65,'#level_value'!$A$2:$H$9999,7,FALSE),"")</f>
        <v/>
      </c>
      <c r="Q65" s="10" t="str">
        <f>IFERROR(VLOOKUP(B65,'#level_value'!$A$2:$H$9999,8,FALSE),"")</f>
        <v/>
      </c>
      <c r="R65" s="10" t="str">
        <f>IFERROR(VLOOKUP(C65,'#level_value'!$A$2:$H$9999,3,FALSE),"")</f>
        <v/>
      </c>
      <c r="S65" s="10" t="str">
        <f>IFERROR(VLOOKUP(C65,'#level_value'!$A$2:$H$9999,4,FALSE),"")</f>
        <v/>
      </c>
      <c r="T65" s="10" t="str">
        <f>IFERROR(VLOOKUP(C65,'#level_value'!$A$2:$H$9999,7,FALSE),"")</f>
        <v/>
      </c>
      <c r="U65" s="10" t="str">
        <f>IFERROR(VLOOKUP(C65,'#level_value'!$A$2:$H$9999,8,FALSE),"")</f>
        <v/>
      </c>
    </row>
    <row r="66" ht="16.5" customHeight="1">
      <c r="A66" s="15">
        <f t="shared" si="52"/>
        <v>10119</v>
      </c>
      <c r="B66" s="6">
        <f t="shared" ref="B66:C66" si="69">A66+10000</f>
        <v>20119</v>
      </c>
      <c r="C66" s="6">
        <f t="shared" si="69"/>
        <v>30119</v>
      </c>
      <c r="D66" s="7" t="str">
        <f t="shared" si="3"/>
        <v>SkillName.10119</v>
      </c>
      <c r="E66" s="8" t="s">
        <v>140</v>
      </c>
      <c r="F66" s="7" t="str">
        <f t="shared" si="4"/>
        <v>SkillDesc.10119</v>
      </c>
      <c r="G66" s="13" t="s">
        <v>141</v>
      </c>
      <c r="H66" s="7"/>
      <c r="I66" s="10" t="s">
        <v>115</v>
      </c>
      <c r="J66" s="10" t="str">
        <f>IFERROR(VLOOKUP(A66,'#level_value'!$A$2:$H$9999,3,FALSE),"")</f>
        <v>AllHitting</v>
      </c>
      <c r="K66" s="10" t="str">
        <f>IFERROR(VLOOKUP(A66,'#level_value'!$A$2:$H$9999,4,FALSE),"")</f>
        <v>NoRunner</v>
      </c>
      <c r="L66" s="10" t="str">
        <f>IFERROR(VLOOKUP(A66,'#level_value'!$A$2:$H$9999,7,FALSE),"")</f>
        <v>[0,0,0,0,0]</v>
      </c>
      <c r="M66" s="10" t="str">
        <f>IFERROR(VLOOKUP(A66,'#level_value'!$A$2:$H$9999,8,FALSE),"")</f>
        <v>[5,8,14,20,30]</v>
      </c>
      <c r="N66" s="10" t="str">
        <f>IFERROR(VLOOKUP(B66,'#level_value'!$A$2:$H$9999,3,FALSE),"")</f>
        <v/>
      </c>
      <c r="O66" s="10" t="str">
        <f>IFERROR(VLOOKUP(B66,'#level_value'!$A$2:$H$9999,4,FALSE),"")</f>
        <v/>
      </c>
      <c r="P66" s="10" t="str">
        <f>IFERROR(VLOOKUP(B66,'#level_value'!$A$2:$H$9999,7,FALSE),"")</f>
        <v/>
      </c>
      <c r="Q66" s="10" t="str">
        <f>IFERROR(VLOOKUP(B66,'#level_value'!$A$2:$H$9999,8,FALSE),"")</f>
        <v/>
      </c>
      <c r="R66" s="10" t="str">
        <f>IFERROR(VLOOKUP(C66,'#level_value'!$A$2:$H$9999,3,FALSE),"")</f>
        <v/>
      </c>
      <c r="S66" s="10" t="str">
        <f>IFERROR(VLOOKUP(C66,'#level_value'!$A$2:$H$9999,4,FALSE),"")</f>
        <v/>
      </c>
      <c r="T66" s="10" t="str">
        <f>IFERROR(VLOOKUP(C66,'#level_value'!$A$2:$H$9999,7,FALSE),"")</f>
        <v/>
      </c>
      <c r="U66" s="10" t="str">
        <f>IFERROR(VLOOKUP(C66,'#level_value'!$A$2:$H$9999,8,FALSE),"")</f>
        <v/>
      </c>
    </row>
    <row r="67" ht="16.5" customHeight="1">
      <c r="A67" s="15">
        <f t="shared" si="52"/>
        <v>10120</v>
      </c>
      <c r="B67" s="6">
        <f t="shared" ref="B67:C67" si="70">A67+10000</f>
        <v>20120</v>
      </c>
      <c r="C67" s="6">
        <f t="shared" si="70"/>
        <v>30120</v>
      </c>
      <c r="D67" s="7" t="str">
        <f t="shared" si="3"/>
        <v>SkillName.10120</v>
      </c>
      <c r="E67" s="16" t="s">
        <v>142</v>
      </c>
      <c r="F67" s="7" t="str">
        <f t="shared" si="4"/>
        <v>SkillDesc.10120</v>
      </c>
      <c r="G67" s="13" t="s">
        <v>141</v>
      </c>
      <c r="H67" s="7"/>
      <c r="I67" s="10" t="s">
        <v>115</v>
      </c>
      <c r="J67" s="10" t="str">
        <f>IFERROR(VLOOKUP(A67,'#level_value'!$A$2:$H$9999,3,FALSE),"")</f>
        <v>AllHitting</v>
      </c>
      <c r="K67" s="10" t="str">
        <f>IFERROR(VLOOKUP(A67,'#level_value'!$A$2:$H$9999,4,FALSE),"")</f>
        <v>NoRunner</v>
      </c>
      <c r="L67" s="10" t="str">
        <f>IFERROR(VLOOKUP(A67,'#level_value'!$A$2:$H$9999,7,FALSE),"")</f>
        <v>[0,0,0,0,0]</v>
      </c>
      <c r="M67" s="10" t="str">
        <f>IFERROR(VLOOKUP(A67,'#level_value'!$A$2:$H$9999,8,FALSE),"")</f>
        <v>[10,16,22,34,50]</v>
      </c>
      <c r="N67" s="10" t="str">
        <f>IFERROR(VLOOKUP(B67,'#level_value'!$A$2:$H$9999,3,FALSE),"")</f>
        <v/>
      </c>
      <c r="O67" s="10" t="str">
        <f>IFERROR(VLOOKUP(B67,'#level_value'!$A$2:$H$9999,4,FALSE),"")</f>
        <v/>
      </c>
      <c r="P67" s="10" t="str">
        <f>IFERROR(VLOOKUP(B67,'#level_value'!$A$2:$H$9999,7,FALSE),"")</f>
        <v/>
      </c>
      <c r="Q67" s="10" t="str">
        <f>IFERROR(VLOOKUP(B67,'#level_value'!$A$2:$H$9999,8,FALSE),"")</f>
        <v/>
      </c>
      <c r="R67" s="10" t="str">
        <f>IFERROR(VLOOKUP(C67,'#level_value'!$A$2:$H$9999,3,FALSE),"")</f>
        <v/>
      </c>
      <c r="S67" s="10" t="str">
        <f>IFERROR(VLOOKUP(C67,'#level_value'!$A$2:$H$9999,4,FALSE),"")</f>
        <v/>
      </c>
      <c r="T67" s="10" t="str">
        <f>IFERROR(VLOOKUP(C67,'#level_value'!$A$2:$H$9999,7,FALSE),"")</f>
        <v/>
      </c>
      <c r="U67" s="10" t="str">
        <f>IFERROR(VLOOKUP(C67,'#level_value'!$A$2:$H$9999,8,FALSE),"")</f>
        <v/>
      </c>
    </row>
    <row r="68" ht="16.5" customHeight="1">
      <c r="A68" s="15">
        <f t="shared" si="52"/>
        <v>10121</v>
      </c>
      <c r="B68" s="6">
        <f t="shared" ref="B68:C68" si="71">A68+10000</f>
        <v>20121</v>
      </c>
      <c r="C68" s="6">
        <f t="shared" si="71"/>
        <v>30121</v>
      </c>
      <c r="D68" s="7" t="str">
        <f t="shared" si="3"/>
        <v>SkillName.10121</v>
      </c>
      <c r="E68" s="16" t="s">
        <v>143</v>
      </c>
      <c r="F68" s="7" t="str">
        <f t="shared" si="4"/>
        <v>SkillDesc.10121</v>
      </c>
      <c r="G68" s="13" t="s">
        <v>141</v>
      </c>
      <c r="H68" s="7"/>
      <c r="I68" s="10" t="s">
        <v>115</v>
      </c>
      <c r="J68" s="10" t="str">
        <f>IFERROR(VLOOKUP(A68,'#level_value'!$A$2:$H$9999,3,FALSE),"")</f>
        <v>AllHitting</v>
      </c>
      <c r="K68" s="10" t="str">
        <f>IFERROR(VLOOKUP(A68,'#level_value'!$A$2:$H$9999,4,FALSE),"")</f>
        <v>NoRunner</v>
      </c>
      <c r="L68" s="10" t="str">
        <f>IFERROR(VLOOKUP(A68,'#level_value'!$A$2:$H$9999,7,FALSE),"")</f>
        <v>[0,0,0,0,0]</v>
      </c>
      <c r="M68" s="10" t="str">
        <f>IFERROR(VLOOKUP(A68,'#level_value'!$A$2:$H$9999,8,FALSE),"")</f>
        <v>[10,16,22,34,50]</v>
      </c>
      <c r="N68" s="10" t="str">
        <f>IFERROR(VLOOKUP(B68,'#level_value'!$A$2:$H$9999,3,FALSE),"")</f>
        <v/>
      </c>
      <c r="O68" s="10" t="str">
        <f>IFERROR(VLOOKUP(B68,'#level_value'!$A$2:$H$9999,4,FALSE),"")</f>
        <v/>
      </c>
      <c r="P68" s="10" t="str">
        <f>IFERROR(VLOOKUP(B68,'#level_value'!$A$2:$H$9999,7,FALSE),"")</f>
        <v/>
      </c>
      <c r="Q68" s="10" t="str">
        <f>IFERROR(VLOOKUP(B68,'#level_value'!$A$2:$H$9999,8,FALSE),"")</f>
        <v/>
      </c>
      <c r="R68" s="10" t="str">
        <f>IFERROR(VLOOKUP(C68,'#level_value'!$A$2:$H$9999,3,FALSE),"")</f>
        <v/>
      </c>
      <c r="S68" s="10" t="str">
        <f>IFERROR(VLOOKUP(C68,'#level_value'!$A$2:$H$9999,4,FALSE),"")</f>
        <v/>
      </c>
      <c r="T68" s="10" t="str">
        <f>IFERROR(VLOOKUP(C68,'#level_value'!$A$2:$H$9999,7,FALSE),"")</f>
        <v/>
      </c>
      <c r="U68" s="10" t="str">
        <f>IFERROR(VLOOKUP(C68,'#level_value'!$A$2:$H$9999,8,FALSE),"")</f>
        <v/>
      </c>
    </row>
    <row r="69" ht="16.5" customHeight="1">
      <c r="A69" s="15">
        <f t="shared" si="52"/>
        <v>10122</v>
      </c>
      <c r="B69" s="6">
        <f t="shared" ref="B69:C69" si="72">A69+10000</f>
        <v>20122</v>
      </c>
      <c r="C69" s="6">
        <f t="shared" si="72"/>
        <v>30122</v>
      </c>
      <c r="D69" s="7" t="str">
        <f t="shared" si="3"/>
        <v>SkillName.10122</v>
      </c>
      <c r="E69" s="8" t="s">
        <v>144</v>
      </c>
      <c r="F69" s="7" t="str">
        <f t="shared" si="4"/>
        <v>SkillDesc.10122</v>
      </c>
      <c r="G69" s="13" t="s">
        <v>145</v>
      </c>
      <c r="H69" s="7"/>
      <c r="I69" s="10" t="s">
        <v>115</v>
      </c>
      <c r="J69" s="10" t="str">
        <f>IFERROR(VLOOKUP(A69,'#level_value'!$A$2:$H$9999,3,FALSE),"")</f>
        <v>AllHitting</v>
      </c>
      <c r="K69" s="10" t="str">
        <f>IFERROR(VLOOKUP(A69,'#level_value'!$A$2:$H$9999,4,FALSE),"")</f>
        <v>ResultCheck</v>
      </c>
      <c r="L69" s="10" t="str">
        <f>IFERROR(VLOOKUP(A69,'#level_value'!$A$2:$H$9999,7,FALSE),"")</f>
        <v>[0,0,0,0,0]</v>
      </c>
      <c r="M69" s="10" t="str">
        <f>IFERROR(VLOOKUP(A69,'#level_value'!$A$2:$H$9999,8,FALSE),"")</f>
        <v>[5,8,14,20,30]</v>
      </c>
      <c r="N69" s="10" t="str">
        <f>IFERROR(VLOOKUP(B69,'#level_value'!$A$2:$H$9999,3,FALSE),"")</f>
        <v/>
      </c>
      <c r="O69" s="10" t="str">
        <f>IFERROR(VLOOKUP(B69,'#level_value'!$A$2:$H$9999,4,FALSE),"")</f>
        <v/>
      </c>
      <c r="P69" s="10" t="str">
        <f>IFERROR(VLOOKUP(B69,'#level_value'!$A$2:$H$9999,7,FALSE),"")</f>
        <v/>
      </c>
      <c r="Q69" s="10" t="str">
        <f>IFERROR(VLOOKUP(B69,'#level_value'!$A$2:$H$9999,8,FALSE),"")</f>
        <v/>
      </c>
      <c r="R69" s="10" t="str">
        <f>IFERROR(VLOOKUP(C69,'#level_value'!$A$2:$H$9999,3,FALSE),"")</f>
        <v/>
      </c>
      <c r="S69" s="10" t="str">
        <f>IFERROR(VLOOKUP(C69,'#level_value'!$A$2:$H$9999,4,FALSE),"")</f>
        <v/>
      </c>
      <c r="T69" s="10" t="str">
        <f>IFERROR(VLOOKUP(C69,'#level_value'!$A$2:$H$9999,7,FALSE),"")</f>
        <v/>
      </c>
      <c r="U69" s="10" t="str">
        <f>IFERROR(VLOOKUP(C69,'#level_value'!$A$2:$H$9999,8,FALSE),"")</f>
        <v/>
      </c>
    </row>
    <row r="70" ht="16.5" customHeight="1">
      <c r="A70" s="15">
        <f t="shared" si="52"/>
        <v>10123</v>
      </c>
      <c r="B70" s="6">
        <f t="shared" ref="B70:C70" si="73">A70+10000</f>
        <v>20123</v>
      </c>
      <c r="C70" s="6">
        <f t="shared" si="73"/>
        <v>30123</v>
      </c>
      <c r="D70" s="7" t="str">
        <f t="shared" si="3"/>
        <v>SkillName.10123</v>
      </c>
      <c r="E70" s="8" t="s">
        <v>146</v>
      </c>
      <c r="F70" s="7" t="str">
        <f t="shared" si="4"/>
        <v>SkillDesc.10123</v>
      </c>
      <c r="G70" s="13" t="s">
        <v>147</v>
      </c>
      <c r="H70" s="7"/>
      <c r="I70" s="10" t="s">
        <v>115</v>
      </c>
      <c r="J70" s="10" t="str">
        <f>IFERROR(VLOOKUP(A70,'#level_value'!$A$2:$H$9999,3,FALSE),"")</f>
        <v>AllHitting</v>
      </c>
      <c r="K70" s="10" t="str">
        <f>IFERROR(VLOOKUP(A70,'#level_value'!$A$2:$H$9999,4,FALSE),"")</f>
        <v>ResultStrike</v>
      </c>
      <c r="L70" s="10" t="str">
        <f>IFERROR(VLOOKUP(A70,'#level_value'!$A$2:$H$9999,7,FALSE),"")</f>
        <v>[0,0,0,0,0]</v>
      </c>
      <c r="M70" s="10" t="str">
        <f>IFERROR(VLOOKUP(A70,'#level_value'!$A$2:$H$9999,8,FALSE),"")</f>
        <v>[5,8,14,20,30]</v>
      </c>
      <c r="N70" s="10" t="str">
        <f>IFERROR(VLOOKUP(B70,'#level_value'!$A$2:$H$9999,3,FALSE),"")</f>
        <v/>
      </c>
      <c r="O70" s="10" t="str">
        <f>IFERROR(VLOOKUP(B70,'#level_value'!$A$2:$H$9999,4,FALSE),"")</f>
        <v/>
      </c>
      <c r="P70" s="10" t="str">
        <f>IFERROR(VLOOKUP(B70,'#level_value'!$A$2:$H$9999,7,FALSE),"")</f>
        <v/>
      </c>
      <c r="Q70" s="10" t="str">
        <f>IFERROR(VLOOKUP(B70,'#level_value'!$A$2:$H$9999,8,FALSE),"")</f>
        <v/>
      </c>
      <c r="R70" s="10" t="str">
        <f>IFERROR(VLOOKUP(C70,'#level_value'!$A$2:$H$9999,3,FALSE),"")</f>
        <v/>
      </c>
      <c r="S70" s="10" t="str">
        <f>IFERROR(VLOOKUP(C70,'#level_value'!$A$2:$H$9999,4,FALSE),"")</f>
        <v/>
      </c>
      <c r="T70" s="10" t="str">
        <f>IFERROR(VLOOKUP(C70,'#level_value'!$A$2:$H$9999,7,FALSE),"")</f>
        <v/>
      </c>
      <c r="U70" s="10" t="str">
        <f>IFERROR(VLOOKUP(C70,'#level_value'!$A$2:$H$9999,8,FALSE),"")</f>
        <v/>
      </c>
    </row>
    <row r="71" ht="16.5" customHeight="1">
      <c r="A71" s="17">
        <v>10201.0</v>
      </c>
      <c r="B71" s="6">
        <f t="shared" ref="B71:C71" si="74">A71+10000</f>
        <v>20201</v>
      </c>
      <c r="C71" s="6">
        <f t="shared" si="74"/>
        <v>30201</v>
      </c>
      <c r="D71" s="7" t="str">
        <f t="shared" si="3"/>
        <v>SkillName.10201</v>
      </c>
      <c r="E71" s="8" t="s">
        <v>148</v>
      </c>
      <c r="F71" s="7" t="str">
        <f t="shared" si="4"/>
        <v>SkillDesc.10201</v>
      </c>
      <c r="G71" s="8" t="s">
        <v>149</v>
      </c>
      <c r="H71" s="7"/>
      <c r="I71" s="10" t="s">
        <v>150</v>
      </c>
      <c r="J71" s="10" t="str">
        <f>IFERROR(VLOOKUP(A71,'#level_value'!$A$2:$H$9999,3,FALSE),"")</f>
        <v>Fielding</v>
      </c>
      <c r="K71" s="10" t="str">
        <f>IFERROR(VLOOKUP(A71,'#level_value'!$A$2:$H$9999,4,FALSE),"")</f>
        <v>DefenseCatcher</v>
      </c>
      <c r="L71" s="10" t="str">
        <f>IFERROR(VLOOKUP(A71,'#level_value'!$A$2:$H$9999,7,FALSE),"")</f>
        <v>[0,0,0,0,0]</v>
      </c>
      <c r="M71" s="10" t="str">
        <f>IFERROR(VLOOKUP(A71,'#level_value'!$A$2:$H$9999,8,FALSE),"")</f>
        <v>[5,7,10,15,20]</v>
      </c>
      <c r="N71" s="10" t="str">
        <f>IFERROR(VLOOKUP(B71,'#level_value'!$A$2:$H$9999,3,FALSE),"")</f>
        <v/>
      </c>
      <c r="O71" s="10" t="str">
        <f>IFERROR(VLOOKUP(B71,'#level_value'!$A$2:$H$9999,4,FALSE),"")</f>
        <v/>
      </c>
      <c r="P71" s="10" t="str">
        <f>IFERROR(VLOOKUP(B71,'#level_value'!$A$2:$H$9999,7,FALSE),"")</f>
        <v/>
      </c>
      <c r="Q71" s="10" t="str">
        <f>IFERROR(VLOOKUP(B71,'#level_value'!$A$2:$H$9999,8,FALSE),"")</f>
        <v/>
      </c>
      <c r="R71" s="10" t="str">
        <f>IFERROR(VLOOKUP(C71,'#level_value'!$A$2:$H$9999,3,FALSE),"")</f>
        <v/>
      </c>
      <c r="S71" s="10" t="str">
        <f>IFERROR(VLOOKUP(C71,'#level_value'!$A$2:$H$9999,4,FALSE),"")</f>
        <v/>
      </c>
      <c r="T71" s="10" t="str">
        <f>IFERROR(VLOOKUP(C71,'#level_value'!$A$2:$H$9999,7,FALSE),"")</f>
        <v/>
      </c>
      <c r="U71" s="10" t="str">
        <f>IFERROR(VLOOKUP(C71,'#level_value'!$A$2:$H$9999,8,FALSE),"")</f>
        <v/>
      </c>
    </row>
    <row r="72" ht="16.5" customHeight="1">
      <c r="A72" s="18">
        <f t="shared" ref="A72:A96" si="76">A71+1</f>
        <v>10202</v>
      </c>
      <c r="B72" s="6">
        <f t="shared" ref="B72:C72" si="75">A72+10000</f>
        <v>20202</v>
      </c>
      <c r="C72" s="6">
        <f t="shared" si="75"/>
        <v>30202</v>
      </c>
      <c r="D72" s="7" t="str">
        <f t="shared" si="3"/>
        <v>SkillName.10202</v>
      </c>
      <c r="E72" s="8" t="s">
        <v>151</v>
      </c>
      <c r="F72" s="7" t="str">
        <f t="shared" si="4"/>
        <v>SkillDesc.10202</v>
      </c>
      <c r="G72" s="8" t="s">
        <v>149</v>
      </c>
      <c r="H72" s="7"/>
      <c r="I72" s="10" t="s">
        <v>150</v>
      </c>
      <c r="J72" s="10" t="str">
        <f>IFERROR(VLOOKUP(A72,'#level_value'!$A$2:$H$9999,3,FALSE),"")</f>
        <v>Fielding</v>
      </c>
      <c r="K72" s="10" t="str">
        <f>IFERROR(VLOOKUP(A72,'#level_value'!$A$2:$H$9999,4,FALSE),"")</f>
        <v>DefenseCatcher</v>
      </c>
      <c r="L72" s="10" t="str">
        <f>IFERROR(VLOOKUP(A72,'#level_value'!$A$2:$H$9999,7,FALSE),"")</f>
        <v>[0,0,0,0,0]</v>
      </c>
      <c r="M72" s="10" t="str">
        <f>IFERROR(VLOOKUP(A72,'#level_value'!$A$2:$H$9999,8,FALSE),"")</f>
        <v>[10,14,20,30,40]</v>
      </c>
      <c r="N72" s="10" t="str">
        <f>IFERROR(VLOOKUP(B72,'#level_value'!$A$2:$H$9999,3,FALSE),"")</f>
        <v/>
      </c>
      <c r="O72" s="10" t="str">
        <f>IFERROR(VLOOKUP(B72,'#level_value'!$A$2:$H$9999,4,FALSE),"")</f>
        <v/>
      </c>
      <c r="P72" s="10" t="str">
        <f>IFERROR(VLOOKUP(B72,'#level_value'!$A$2:$H$9999,7,FALSE),"")</f>
        <v/>
      </c>
      <c r="Q72" s="10" t="str">
        <f>IFERROR(VLOOKUP(B72,'#level_value'!$A$2:$H$9999,8,FALSE),"")</f>
        <v/>
      </c>
      <c r="R72" s="10" t="str">
        <f>IFERROR(VLOOKUP(C72,'#level_value'!$A$2:$H$9999,3,FALSE),"")</f>
        <v/>
      </c>
      <c r="S72" s="10" t="str">
        <f>IFERROR(VLOOKUP(C72,'#level_value'!$A$2:$H$9999,4,FALSE),"")</f>
        <v/>
      </c>
      <c r="T72" s="10" t="str">
        <f>IFERROR(VLOOKUP(C72,'#level_value'!$A$2:$H$9999,7,FALSE),"")</f>
        <v/>
      </c>
      <c r="U72" s="10" t="str">
        <f>IFERROR(VLOOKUP(C72,'#level_value'!$A$2:$H$9999,8,FALSE),"")</f>
        <v/>
      </c>
    </row>
    <row r="73" ht="16.5" customHeight="1">
      <c r="A73" s="18">
        <f t="shared" si="76"/>
        <v>10203</v>
      </c>
      <c r="B73" s="6">
        <f t="shared" ref="B73:C73" si="77">A73+10000</f>
        <v>20203</v>
      </c>
      <c r="C73" s="6">
        <f t="shared" si="77"/>
        <v>30203</v>
      </c>
      <c r="D73" s="7" t="str">
        <f t="shared" si="3"/>
        <v>SkillName.10203</v>
      </c>
      <c r="E73" s="8" t="s">
        <v>152</v>
      </c>
      <c r="F73" s="7" t="str">
        <f t="shared" si="4"/>
        <v>SkillDesc.10203</v>
      </c>
      <c r="G73" s="8" t="s">
        <v>153</v>
      </c>
      <c r="H73" s="7"/>
      <c r="I73" s="10" t="s">
        <v>150</v>
      </c>
      <c r="J73" s="10" t="str">
        <f>IFERROR(VLOOKUP(A73,'#level_value'!$A$2:$H$9999,3,FALSE),"")</f>
        <v>Fielding</v>
      </c>
      <c r="K73" s="10" t="str">
        <f>IFERROR(VLOOKUP(A73,'#level_value'!$A$2:$H$9999,4,FALSE),"")</f>
        <v>DefenseInfield</v>
      </c>
      <c r="L73" s="10" t="str">
        <f>IFERROR(VLOOKUP(A73,'#level_value'!$A$2:$H$9999,7,FALSE),"")</f>
        <v>[0,0,0,0,0]</v>
      </c>
      <c r="M73" s="10" t="str">
        <f>IFERROR(VLOOKUP(A73,'#level_value'!$A$2:$H$9999,8,FALSE),"")</f>
        <v>[5,7,10,15,20]</v>
      </c>
      <c r="N73" s="10" t="str">
        <f>IFERROR(VLOOKUP(B73,'#level_value'!$A$2:$H$9999,3,FALSE),"")</f>
        <v/>
      </c>
      <c r="O73" s="10" t="str">
        <f>IFERROR(VLOOKUP(B73,'#level_value'!$A$2:$H$9999,4,FALSE),"")</f>
        <v/>
      </c>
      <c r="P73" s="10" t="str">
        <f>IFERROR(VLOOKUP(B73,'#level_value'!$A$2:$H$9999,7,FALSE),"")</f>
        <v/>
      </c>
      <c r="Q73" s="10" t="str">
        <f>IFERROR(VLOOKUP(B73,'#level_value'!$A$2:$H$9999,8,FALSE),"")</f>
        <v/>
      </c>
      <c r="R73" s="10" t="str">
        <f>IFERROR(VLOOKUP(C73,'#level_value'!$A$2:$H$9999,3,FALSE),"")</f>
        <v/>
      </c>
      <c r="S73" s="10" t="str">
        <f>IFERROR(VLOOKUP(C73,'#level_value'!$A$2:$H$9999,4,FALSE),"")</f>
        <v/>
      </c>
      <c r="T73" s="10" t="str">
        <f>IFERROR(VLOOKUP(C73,'#level_value'!$A$2:$H$9999,7,FALSE),"")</f>
        <v/>
      </c>
      <c r="U73" s="10" t="str">
        <f>IFERROR(VLOOKUP(C73,'#level_value'!$A$2:$H$9999,8,FALSE),"")</f>
        <v/>
      </c>
    </row>
    <row r="74" ht="16.5" customHeight="1">
      <c r="A74" s="18">
        <f t="shared" si="76"/>
        <v>10204</v>
      </c>
      <c r="B74" s="6">
        <f t="shared" ref="B74:C74" si="78">A74+10000</f>
        <v>20204</v>
      </c>
      <c r="C74" s="6">
        <f t="shared" si="78"/>
        <v>30204</v>
      </c>
      <c r="D74" s="7" t="str">
        <f t="shared" si="3"/>
        <v>SkillName.10204</v>
      </c>
      <c r="E74" s="8" t="s">
        <v>154</v>
      </c>
      <c r="F74" s="7" t="str">
        <f t="shared" si="4"/>
        <v>SkillDesc.10204</v>
      </c>
      <c r="G74" s="8" t="s">
        <v>153</v>
      </c>
      <c r="H74" s="7"/>
      <c r="I74" s="10" t="s">
        <v>150</v>
      </c>
      <c r="J74" s="10" t="str">
        <f>IFERROR(VLOOKUP(A74,'#level_value'!$A$2:$H$9999,3,FALSE),"")</f>
        <v>Fielding</v>
      </c>
      <c r="K74" s="10" t="str">
        <f>IFERROR(VLOOKUP(A74,'#level_value'!$A$2:$H$9999,4,FALSE),"")</f>
        <v>DefenseInfield</v>
      </c>
      <c r="L74" s="10" t="str">
        <f>IFERROR(VLOOKUP(A74,'#level_value'!$A$2:$H$9999,7,FALSE),"")</f>
        <v>[0,0,0,0,0]</v>
      </c>
      <c r="M74" s="10" t="str">
        <f>IFERROR(VLOOKUP(A74,'#level_value'!$A$2:$H$9999,8,FALSE),"")</f>
        <v>[10,14,20,30,40]</v>
      </c>
      <c r="N74" s="10" t="str">
        <f>IFERROR(VLOOKUP(B74,'#level_value'!$A$2:$H$9999,3,FALSE),"")</f>
        <v/>
      </c>
      <c r="O74" s="10" t="str">
        <f>IFERROR(VLOOKUP(B74,'#level_value'!$A$2:$H$9999,4,FALSE),"")</f>
        <v/>
      </c>
      <c r="P74" s="10" t="str">
        <f>IFERROR(VLOOKUP(B74,'#level_value'!$A$2:$H$9999,7,FALSE),"")</f>
        <v/>
      </c>
      <c r="Q74" s="10" t="str">
        <f>IFERROR(VLOOKUP(B74,'#level_value'!$A$2:$H$9999,8,FALSE),"")</f>
        <v/>
      </c>
      <c r="R74" s="10" t="str">
        <f>IFERROR(VLOOKUP(C74,'#level_value'!$A$2:$H$9999,3,FALSE),"")</f>
        <v/>
      </c>
      <c r="S74" s="10" t="str">
        <f>IFERROR(VLOOKUP(C74,'#level_value'!$A$2:$H$9999,4,FALSE),"")</f>
        <v/>
      </c>
      <c r="T74" s="10" t="str">
        <f>IFERROR(VLOOKUP(C74,'#level_value'!$A$2:$H$9999,7,FALSE),"")</f>
        <v/>
      </c>
      <c r="U74" s="10" t="str">
        <f>IFERROR(VLOOKUP(C74,'#level_value'!$A$2:$H$9999,8,FALSE),"")</f>
        <v/>
      </c>
    </row>
    <row r="75" ht="16.5" customHeight="1">
      <c r="A75" s="18">
        <f t="shared" si="76"/>
        <v>10205</v>
      </c>
      <c r="B75" s="6">
        <f t="shared" ref="B75:C75" si="79">A75+10000</f>
        <v>20205</v>
      </c>
      <c r="C75" s="6">
        <f t="shared" si="79"/>
        <v>30205</v>
      </c>
      <c r="D75" s="7" t="str">
        <f t="shared" si="3"/>
        <v>SkillName.10205</v>
      </c>
      <c r="E75" s="8" t="s">
        <v>155</v>
      </c>
      <c r="F75" s="7" t="str">
        <f t="shared" si="4"/>
        <v>SkillDesc.10205</v>
      </c>
      <c r="G75" s="8" t="s">
        <v>156</v>
      </c>
      <c r="H75" s="7"/>
      <c r="I75" s="10" t="s">
        <v>150</v>
      </c>
      <c r="J75" s="10" t="str">
        <f>IFERROR(VLOOKUP(A75,'#level_value'!$A$2:$H$9999,3,FALSE),"")</f>
        <v>AllDefense</v>
      </c>
      <c r="K75" s="10" t="str">
        <f>IFERROR(VLOOKUP(A75,'#level_value'!$A$2:$H$9999,4,FALSE),"")</f>
        <v>DefenseInfield</v>
      </c>
      <c r="L75" s="10" t="str">
        <f>IFERROR(VLOOKUP(A75,'#level_value'!$A$2:$H$9999,7,FALSE),"")</f>
        <v>[0,0,0,0,0]</v>
      </c>
      <c r="M75" s="10" t="str">
        <f>IFERROR(VLOOKUP(A75,'#level_value'!$A$2:$H$9999,8,FALSE),"")</f>
        <v>[5,7,10,15,20]</v>
      </c>
      <c r="N75" s="10" t="str">
        <f>IFERROR(VLOOKUP(B75,'#level_value'!$A$2:$H$9999,3,FALSE),"")</f>
        <v/>
      </c>
      <c r="O75" s="10" t="str">
        <f>IFERROR(VLOOKUP(B75,'#level_value'!$A$2:$H$9999,4,FALSE),"")</f>
        <v/>
      </c>
      <c r="P75" s="10" t="str">
        <f>IFERROR(VLOOKUP(B75,'#level_value'!$A$2:$H$9999,7,FALSE),"")</f>
        <v/>
      </c>
      <c r="Q75" s="10" t="str">
        <f>IFERROR(VLOOKUP(B75,'#level_value'!$A$2:$H$9999,8,FALSE),"")</f>
        <v/>
      </c>
      <c r="R75" s="10" t="str">
        <f>IFERROR(VLOOKUP(C75,'#level_value'!$A$2:$H$9999,3,FALSE),"")</f>
        <v/>
      </c>
      <c r="S75" s="10" t="str">
        <f>IFERROR(VLOOKUP(C75,'#level_value'!$A$2:$H$9999,4,FALSE),"")</f>
        <v/>
      </c>
      <c r="T75" s="10" t="str">
        <f>IFERROR(VLOOKUP(C75,'#level_value'!$A$2:$H$9999,7,FALSE),"")</f>
        <v/>
      </c>
      <c r="U75" s="10" t="str">
        <f>IFERROR(VLOOKUP(C75,'#level_value'!$A$2:$H$9999,8,FALSE),"")</f>
        <v/>
      </c>
    </row>
    <row r="76" ht="16.5" customHeight="1">
      <c r="A76" s="18">
        <f t="shared" si="76"/>
        <v>10206</v>
      </c>
      <c r="B76" s="6">
        <f t="shared" ref="B76:C76" si="80">A76+10000</f>
        <v>20206</v>
      </c>
      <c r="C76" s="6">
        <f t="shared" si="80"/>
        <v>30206</v>
      </c>
      <c r="D76" s="7" t="str">
        <f t="shared" si="3"/>
        <v>SkillName.10206</v>
      </c>
      <c r="E76" s="8" t="s">
        <v>157</v>
      </c>
      <c r="F76" s="7" t="str">
        <f t="shared" si="4"/>
        <v>SkillDesc.10206</v>
      </c>
      <c r="G76" s="8" t="s">
        <v>156</v>
      </c>
      <c r="H76" s="7"/>
      <c r="I76" s="10" t="s">
        <v>150</v>
      </c>
      <c r="J76" s="10" t="str">
        <f>IFERROR(VLOOKUP(A76,'#level_value'!$A$2:$H$9999,3,FALSE),"")</f>
        <v>AllDefense</v>
      </c>
      <c r="K76" s="10" t="str">
        <f>IFERROR(VLOOKUP(A76,'#level_value'!$A$2:$H$9999,4,FALSE),"")</f>
        <v>DefenseInfield</v>
      </c>
      <c r="L76" s="10" t="str">
        <f>IFERROR(VLOOKUP(A76,'#level_value'!$A$2:$H$9999,7,FALSE),"")</f>
        <v>[0,0,0,0,0]</v>
      </c>
      <c r="M76" s="10" t="str">
        <f>IFERROR(VLOOKUP(A76,'#level_value'!$A$2:$H$9999,8,FALSE),"")</f>
        <v>[10,14,20,30,40]</v>
      </c>
      <c r="N76" s="10" t="str">
        <f>IFERROR(VLOOKUP(B76,'#level_value'!$A$2:$H$9999,3,FALSE),"")</f>
        <v/>
      </c>
      <c r="O76" s="10" t="str">
        <f>IFERROR(VLOOKUP(B76,'#level_value'!$A$2:$H$9999,4,FALSE),"")</f>
        <v/>
      </c>
      <c r="P76" s="10" t="str">
        <f>IFERROR(VLOOKUP(B76,'#level_value'!$A$2:$H$9999,7,FALSE),"")</f>
        <v/>
      </c>
      <c r="Q76" s="10" t="str">
        <f>IFERROR(VLOOKUP(B76,'#level_value'!$A$2:$H$9999,8,FALSE),"")</f>
        <v/>
      </c>
      <c r="R76" s="10" t="str">
        <f>IFERROR(VLOOKUP(C76,'#level_value'!$A$2:$H$9999,3,FALSE),"")</f>
        <v/>
      </c>
      <c r="S76" s="10" t="str">
        <f>IFERROR(VLOOKUP(C76,'#level_value'!$A$2:$H$9999,4,FALSE),"")</f>
        <v/>
      </c>
      <c r="T76" s="10" t="str">
        <f>IFERROR(VLOOKUP(C76,'#level_value'!$A$2:$H$9999,7,FALSE),"")</f>
        <v/>
      </c>
      <c r="U76" s="10" t="str">
        <f>IFERROR(VLOOKUP(C76,'#level_value'!$A$2:$H$9999,8,FALSE),"")</f>
        <v/>
      </c>
    </row>
    <row r="77" ht="16.5" customHeight="1">
      <c r="A77" s="18">
        <f t="shared" si="76"/>
        <v>10207</v>
      </c>
      <c r="B77" s="6">
        <f t="shared" ref="B77:C77" si="81">A77+10000</f>
        <v>20207</v>
      </c>
      <c r="C77" s="6">
        <f t="shared" si="81"/>
        <v>30207</v>
      </c>
      <c r="D77" s="7" t="str">
        <f t="shared" si="3"/>
        <v>SkillName.10207</v>
      </c>
      <c r="E77" s="8" t="s">
        <v>158</v>
      </c>
      <c r="F77" s="7" t="str">
        <f t="shared" si="4"/>
        <v>SkillDesc.10207</v>
      </c>
      <c r="G77" s="8" t="s">
        <v>159</v>
      </c>
      <c r="H77" s="7"/>
      <c r="I77" s="10" t="s">
        <v>150</v>
      </c>
      <c r="J77" s="10" t="str">
        <f>IFERROR(VLOOKUP(A77,'#level_value'!$A$2:$H$9999,3,FALSE),"")</f>
        <v>Fielding</v>
      </c>
      <c r="K77" s="10" t="str">
        <f>IFERROR(VLOOKUP(A77,'#level_value'!$A$2:$H$9999,4,FALSE),"")</f>
        <v>DefenseOutfield</v>
      </c>
      <c r="L77" s="10" t="str">
        <f>IFERROR(VLOOKUP(A77,'#level_value'!$A$2:$H$9999,7,FALSE),"")</f>
        <v>[0,0,0,0,0]</v>
      </c>
      <c r="M77" s="10" t="str">
        <f>IFERROR(VLOOKUP(A77,'#level_value'!$A$2:$H$9999,8,FALSE),"")</f>
        <v>[5,7,10,15,20]</v>
      </c>
      <c r="N77" s="10" t="str">
        <f>IFERROR(VLOOKUP(B77,'#level_value'!$A$2:$H$9999,3,FALSE),"")</f>
        <v/>
      </c>
      <c r="O77" s="10" t="str">
        <f>IFERROR(VLOOKUP(B77,'#level_value'!$A$2:$H$9999,4,FALSE),"")</f>
        <v/>
      </c>
      <c r="P77" s="10" t="str">
        <f>IFERROR(VLOOKUP(B77,'#level_value'!$A$2:$H$9999,7,FALSE),"")</f>
        <v/>
      </c>
      <c r="Q77" s="10" t="str">
        <f>IFERROR(VLOOKUP(B77,'#level_value'!$A$2:$H$9999,8,FALSE),"")</f>
        <v/>
      </c>
      <c r="R77" s="10" t="str">
        <f>IFERROR(VLOOKUP(C77,'#level_value'!$A$2:$H$9999,3,FALSE),"")</f>
        <v/>
      </c>
      <c r="S77" s="10" t="str">
        <f>IFERROR(VLOOKUP(C77,'#level_value'!$A$2:$H$9999,4,FALSE),"")</f>
        <v/>
      </c>
      <c r="T77" s="10" t="str">
        <f>IFERROR(VLOOKUP(C77,'#level_value'!$A$2:$H$9999,7,FALSE),"")</f>
        <v/>
      </c>
      <c r="U77" s="10" t="str">
        <f>IFERROR(VLOOKUP(C77,'#level_value'!$A$2:$H$9999,8,FALSE),"")</f>
        <v/>
      </c>
    </row>
    <row r="78" ht="16.5" customHeight="1">
      <c r="A78" s="18">
        <f t="shared" si="76"/>
        <v>10208</v>
      </c>
      <c r="B78" s="6">
        <f t="shared" ref="B78:C78" si="82">A78+10000</f>
        <v>20208</v>
      </c>
      <c r="C78" s="6">
        <f t="shared" si="82"/>
        <v>30208</v>
      </c>
      <c r="D78" s="7" t="str">
        <f t="shared" si="3"/>
        <v>SkillName.10208</v>
      </c>
      <c r="E78" s="8" t="s">
        <v>160</v>
      </c>
      <c r="F78" s="7" t="str">
        <f t="shared" si="4"/>
        <v>SkillDesc.10208</v>
      </c>
      <c r="G78" s="8" t="s">
        <v>159</v>
      </c>
      <c r="H78" s="7"/>
      <c r="I78" s="10" t="s">
        <v>150</v>
      </c>
      <c r="J78" s="10" t="str">
        <f>IFERROR(VLOOKUP(A78,'#level_value'!$A$2:$H$9999,3,FALSE),"")</f>
        <v>Fielding</v>
      </c>
      <c r="K78" s="10" t="str">
        <f>IFERROR(VLOOKUP(A78,'#level_value'!$A$2:$H$9999,4,FALSE),"")</f>
        <v>DefenseOutfield</v>
      </c>
      <c r="L78" s="10" t="str">
        <f>IFERROR(VLOOKUP(A78,'#level_value'!$A$2:$H$9999,7,FALSE),"")</f>
        <v>[0,0,0,0,0]</v>
      </c>
      <c r="M78" s="10" t="str">
        <f>IFERROR(VLOOKUP(A78,'#level_value'!$A$2:$H$9999,8,FALSE),"")</f>
        <v>[10,14,20,30,40]</v>
      </c>
      <c r="N78" s="10" t="str">
        <f>IFERROR(VLOOKUP(B78,'#level_value'!$A$2:$H$9999,3,FALSE),"")</f>
        <v/>
      </c>
      <c r="O78" s="10" t="str">
        <f>IFERROR(VLOOKUP(B78,'#level_value'!$A$2:$H$9999,4,FALSE),"")</f>
        <v/>
      </c>
      <c r="P78" s="10" t="str">
        <f>IFERROR(VLOOKUP(B78,'#level_value'!$A$2:$H$9999,7,FALSE),"")</f>
        <v/>
      </c>
      <c r="Q78" s="10" t="str">
        <f>IFERROR(VLOOKUP(B78,'#level_value'!$A$2:$H$9999,8,FALSE),"")</f>
        <v/>
      </c>
      <c r="R78" s="10" t="str">
        <f>IFERROR(VLOOKUP(C78,'#level_value'!$A$2:$H$9999,3,FALSE),"")</f>
        <v/>
      </c>
      <c r="S78" s="10" t="str">
        <f>IFERROR(VLOOKUP(C78,'#level_value'!$A$2:$H$9999,4,FALSE),"")</f>
        <v/>
      </c>
      <c r="T78" s="10" t="str">
        <f>IFERROR(VLOOKUP(C78,'#level_value'!$A$2:$H$9999,7,FALSE),"")</f>
        <v/>
      </c>
      <c r="U78" s="10" t="str">
        <f>IFERROR(VLOOKUP(C78,'#level_value'!$A$2:$H$9999,8,FALSE),"")</f>
        <v/>
      </c>
    </row>
    <row r="79" ht="16.5" customHeight="1">
      <c r="A79" s="18">
        <f t="shared" si="76"/>
        <v>10209</v>
      </c>
      <c r="B79" s="6">
        <f t="shared" ref="B79:C79" si="83">A79+10000</f>
        <v>20209</v>
      </c>
      <c r="C79" s="6">
        <f t="shared" si="83"/>
        <v>30209</v>
      </c>
      <c r="D79" s="7" t="str">
        <f t="shared" si="3"/>
        <v>SkillName.10209</v>
      </c>
      <c r="E79" s="8" t="s">
        <v>161</v>
      </c>
      <c r="F79" s="7" t="str">
        <f t="shared" si="4"/>
        <v>SkillDesc.10209</v>
      </c>
      <c r="G79" s="8" t="s">
        <v>162</v>
      </c>
      <c r="H79" s="7"/>
      <c r="I79" s="10" t="s">
        <v>150</v>
      </c>
      <c r="J79" s="10" t="str">
        <f>IFERROR(VLOOKUP(A79,'#level_value'!$A$2:$H$9999,3,FALSE),"")</f>
        <v>AllDefense</v>
      </c>
      <c r="K79" s="10" t="str">
        <f>IFERROR(VLOOKUP(A79,'#level_value'!$A$2:$H$9999,4,FALSE),"")</f>
        <v>DefenseOutfield</v>
      </c>
      <c r="L79" s="10" t="str">
        <f>IFERROR(VLOOKUP(A79,'#level_value'!$A$2:$H$9999,7,FALSE),"")</f>
        <v>[0,0,0,0,0]</v>
      </c>
      <c r="M79" s="10" t="str">
        <f>IFERROR(VLOOKUP(A79,'#level_value'!$A$2:$H$9999,8,FALSE),"")</f>
        <v>[5,7,10,15,20]</v>
      </c>
      <c r="N79" s="10" t="str">
        <f>IFERROR(VLOOKUP(B79,'#level_value'!$A$2:$H$9999,3,FALSE),"")</f>
        <v/>
      </c>
      <c r="O79" s="10" t="str">
        <f>IFERROR(VLOOKUP(B79,'#level_value'!$A$2:$H$9999,4,FALSE),"")</f>
        <v/>
      </c>
      <c r="P79" s="10" t="str">
        <f>IFERROR(VLOOKUP(B79,'#level_value'!$A$2:$H$9999,7,FALSE),"")</f>
        <v/>
      </c>
      <c r="Q79" s="10" t="str">
        <f>IFERROR(VLOOKUP(B79,'#level_value'!$A$2:$H$9999,8,FALSE),"")</f>
        <v/>
      </c>
      <c r="R79" s="10" t="str">
        <f>IFERROR(VLOOKUP(C79,'#level_value'!$A$2:$H$9999,3,FALSE),"")</f>
        <v/>
      </c>
      <c r="S79" s="10" t="str">
        <f>IFERROR(VLOOKUP(C79,'#level_value'!$A$2:$H$9999,4,FALSE),"")</f>
        <v/>
      </c>
      <c r="T79" s="10" t="str">
        <f>IFERROR(VLOOKUP(C79,'#level_value'!$A$2:$H$9999,7,FALSE),"")</f>
        <v/>
      </c>
      <c r="U79" s="10" t="str">
        <f>IFERROR(VLOOKUP(C79,'#level_value'!$A$2:$H$9999,8,FALSE),"")</f>
        <v/>
      </c>
    </row>
    <row r="80" ht="16.5" customHeight="1">
      <c r="A80" s="18">
        <f t="shared" si="76"/>
        <v>10210</v>
      </c>
      <c r="B80" s="6">
        <f t="shared" ref="B80:C80" si="84">A80+10000</f>
        <v>20210</v>
      </c>
      <c r="C80" s="6">
        <f t="shared" si="84"/>
        <v>30210</v>
      </c>
      <c r="D80" s="7" t="str">
        <f t="shared" si="3"/>
        <v>SkillName.10210</v>
      </c>
      <c r="E80" s="8" t="s">
        <v>163</v>
      </c>
      <c r="F80" s="7" t="str">
        <f t="shared" si="4"/>
        <v>SkillDesc.10210</v>
      </c>
      <c r="G80" s="8" t="s">
        <v>162</v>
      </c>
      <c r="H80" s="7"/>
      <c r="I80" s="10" t="s">
        <v>150</v>
      </c>
      <c r="J80" s="10" t="str">
        <f>IFERROR(VLOOKUP(A80,'#level_value'!$A$2:$H$9999,3,FALSE),"")</f>
        <v>AllDefense</v>
      </c>
      <c r="K80" s="10" t="str">
        <f>IFERROR(VLOOKUP(A80,'#level_value'!$A$2:$H$9999,4,FALSE),"")</f>
        <v>DefenseOutfield</v>
      </c>
      <c r="L80" s="10" t="str">
        <f>IFERROR(VLOOKUP(A80,'#level_value'!$A$2:$H$9999,7,FALSE),"")</f>
        <v>[0,0,0,0,0]</v>
      </c>
      <c r="M80" s="10" t="str">
        <f>IFERROR(VLOOKUP(A80,'#level_value'!$A$2:$H$9999,8,FALSE),"")</f>
        <v>[10,14,20,30,40]</v>
      </c>
      <c r="N80" s="10" t="str">
        <f>IFERROR(VLOOKUP(B80,'#level_value'!$A$2:$H$9999,3,FALSE),"")</f>
        <v/>
      </c>
      <c r="O80" s="10" t="str">
        <f>IFERROR(VLOOKUP(B80,'#level_value'!$A$2:$H$9999,4,FALSE),"")</f>
        <v/>
      </c>
      <c r="P80" s="10" t="str">
        <f>IFERROR(VLOOKUP(B80,'#level_value'!$A$2:$H$9999,7,FALSE),"")</f>
        <v/>
      </c>
      <c r="Q80" s="10" t="str">
        <f>IFERROR(VLOOKUP(B80,'#level_value'!$A$2:$H$9999,8,FALSE),"")</f>
        <v/>
      </c>
      <c r="R80" s="10" t="str">
        <f>IFERROR(VLOOKUP(C80,'#level_value'!$A$2:$H$9999,3,FALSE),"")</f>
        <v/>
      </c>
      <c r="S80" s="10" t="str">
        <f>IFERROR(VLOOKUP(C80,'#level_value'!$A$2:$H$9999,4,FALSE),"")</f>
        <v/>
      </c>
      <c r="T80" s="10" t="str">
        <f>IFERROR(VLOOKUP(C80,'#level_value'!$A$2:$H$9999,7,FALSE),"")</f>
        <v/>
      </c>
      <c r="U80" s="10" t="str">
        <f>IFERROR(VLOOKUP(C80,'#level_value'!$A$2:$H$9999,8,FALSE),"")</f>
        <v/>
      </c>
    </row>
    <row r="81" ht="16.5" customHeight="1">
      <c r="A81" s="18">
        <f t="shared" si="76"/>
        <v>10211</v>
      </c>
      <c r="B81" s="6">
        <f t="shared" ref="B81:C81" si="85">A81+10000</f>
        <v>20211</v>
      </c>
      <c r="C81" s="6">
        <f t="shared" si="85"/>
        <v>30211</v>
      </c>
      <c r="D81" s="7" t="str">
        <f t="shared" si="3"/>
        <v>SkillName.10211</v>
      </c>
      <c r="E81" s="8" t="s">
        <v>164</v>
      </c>
      <c r="F81" s="7" t="str">
        <f t="shared" si="4"/>
        <v>SkillDesc.10211</v>
      </c>
      <c r="G81" s="8" t="s">
        <v>165</v>
      </c>
      <c r="H81" s="7"/>
      <c r="I81" s="10" t="s">
        <v>150</v>
      </c>
      <c r="J81" s="10" t="str">
        <f>IFERROR(VLOOKUP(A81,'#level_value'!$A$2:$H$9999,3,FALSE),"")</f>
        <v>FieldSkill</v>
      </c>
      <c r="K81" s="10" t="str">
        <f>IFERROR(VLOOKUP(A81,'#level_value'!$A$2:$H$9999,4,FALSE),"")</f>
        <v>DefenseCatcher</v>
      </c>
      <c r="L81" s="10" t="str">
        <f>IFERROR(VLOOKUP(A81,'#level_value'!$A$2:$H$9999,7,FALSE),"")</f>
        <v>[25,35,50,75,100]</v>
      </c>
      <c r="M81" s="10" t="str">
        <f>IFERROR(VLOOKUP(A81,'#level_value'!$A$2:$H$9999,8,FALSE),"")</f>
        <v>[0,0,0,0,0]</v>
      </c>
      <c r="N81" s="10" t="str">
        <f>IFERROR(VLOOKUP(B81,'#level_value'!$A$2:$H$9999,3,FALSE),"")</f>
        <v/>
      </c>
      <c r="O81" s="10" t="str">
        <f>IFERROR(VLOOKUP(B81,'#level_value'!$A$2:$H$9999,4,FALSE),"")</f>
        <v/>
      </c>
      <c r="P81" s="10" t="str">
        <f>IFERROR(VLOOKUP(B81,'#level_value'!$A$2:$H$9999,7,FALSE),"")</f>
        <v/>
      </c>
      <c r="Q81" s="10" t="str">
        <f>IFERROR(VLOOKUP(B81,'#level_value'!$A$2:$H$9999,8,FALSE),"")</f>
        <v/>
      </c>
      <c r="R81" s="10" t="str">
        <f>IFERROR(VLOOKUP(C81,'#level_value'!$A$2:$H$9999,3,FALSE),"")</f>
        <v/>
      </c>
      <c r="S81" s="10" t="str">
        <f>IFERROR(VLOOKUP(C81,'#level_value'!$A$2:$H$9999,4,FALSE),"")</f>
        <v/>
      </c>
      <c r="T81" s="10" t="str">
        <f>IFERROR(VLOOKUP(C81,'#level_value'!$A$2:$H$9999,7,FALSE),"")</f>
        <v/>
      </c>
      <c r="U81" s="10" t="str">
        <f>IFERROR(VLOOKUP(C81,'#level_value'!$A$2:$H$9999,8,FALSE),"")</f>
        <v/>
      </c>
    </row>
    <row r="82" ht="16.5" customHeight="1">
      <c r="A82" s="18">
        <f t="shared" si="76"/>
        <v>10212</v>
      </c>
      <c r="B82" s="6">
        <f t="shared" ref="B82:C82" si="86">A82+10000</f>
        <v>20212</v>
      </c>
      <c r="C82" s="6">
        <f t="shared" si="86"/>
        <v>30212</v>
      </c>
      <c r="D82" s="7" t="str">
        <f t="shared" si="3"/>
        <v>SkillName.10212</v>
      </c>
      <c r="E82" s="8" t="s">
        <v>166</v>
      </c>
      <c r="F82" s="7" t="str">
        <f t="shared" si="4"/>
        <v>SkillDesc.10212</v>
      </c>
      <c r="G82" s="8" t="s">
        <v>167</v>
      </c>
      <c r="H82" s="7"/>
      <c r="I82" s="10" t="s">
        <v>150</v>
      </c>
      <c r="J82" s="10" t="str">
        <f>IFERROR(VLOOKUP(A82,'#level_value'!$A$2:$H$9999,3,FALSE),"")</f>
        <v>FieldSkill</v>
      </c>
      <c r="K82" s="10" t="str">
        <f>IFERROR(VLOOKUP(A82,'#level_value'!$A$2:$H$9999,4,FALSE),"")</f>
        <v>DefenseCatcher</v>
      </c>
      <c r="L82" s="10" t="str">
        <f>IFERROR(VLOOKUP(A82,'#level_value'!$A$2:$H$9999,7,FALSE),"")</f>
        <v>[5,10,15,20,40]</v>
      </c>
      <c r="M82" s="10" t="str">
        <f>IFERROR(VLOOKUP(A82,'#level_value'!$A$2:$H$9999,8,FALSE),"")</f>
        <v>[0,0,0,0,0]</v>
      </c>
      <c r="N82" s="10" t="str">
        <f>IFERROR(VLOOKUP(B82,'#level_value'!$A$2:$H$9999,3,FALSE),"")</f>
        <v/>
      </c>
      <c r="O82" s="10" t="str">
        <f>IFERROR(VLOOKUP(B82,'#level_value'!$A$2:$H$9999,4,FALSE),"")</f>
        <v/>
      </c>
      <c r="P82" s="10" t="str">
        <f>IFERROR(VLOOKUP(B82,'#level_value'!$A$2:$H$9999,7,FALSE),"")</f>
        <v/>
      </c>
      <c r="Q82" s="10" t="str">
        <f>IFERROR(VLOOKUP(B82,'#level_value'!$A$2:$H$9999,8,FALSE),"")</f>
        <v/>
      </c>
      <c r="R82" s="10" t="str">
        <f>IFERROR(VLOOKUP(C82,'#level_value'!$A$2:$H$9999,3,FALSE),"")</f>
        <v/>
      </c>
      <c r="S82" s="10" t="str">
        <f>IFERROR(VLOOKUP(C82,'#level_value'!$A$2:$H$9999,4,FALSE),"")</f>
        <v/>
      </c>
      <c r="T82" s="10" t="str">
        <f>IFERROR(VLOOKUP(C82,'#level_value'!$A$2:$H$9999,7,FALSE),"")</f>
        <v/>
      </c>
      <c r="U82" s="10" t="str">
        <f>IFERROR(VLOOKUP(C82,'#level_value'!$A$2:$H$9999,8,FALSE),"")</f>
        <v/>
      </c>
    </row>
    <row r="83" ht="16.5" customHeight="1">
      <c r="A83" s="18">
        <f t="shared" si="76"/>
        <v>10213</v>
      </c>
      <c r="B83" s="6">
        <f t="shared" ref="B83:C83" si="87">A83+10000</f>
        <v>20213</v>
      </c>
      <c r="C83" s="6">
        <f t="shared" si="87"/>
        <v>30213</v>
      </c>
      <c r="D83" s="7" t="str">
        <f t="shared" si="3"/>
        <v>SkillName.10213</v>
      </c>
      <c r="E83" s="8" t="s">
        <v>168</v>
      </c>
      <c r="F83" s="7" t="str">
        <f t="shared" si="4"/>
        <v>SkillDesc.10213</v>
      </c>
      <c r="G83" s="8" t="s">
        <v>167</v>
      </c>
      <c r="H83" s="7"/>
      <c r="I83" s="10" t="s">
        <v>150</v>
      </c>
      <c r="J83" s="10" t="str">
        <f>IFERROR(VLOOKUP(A83,'#level_value'!$A$2:$H$9999,3,FALSE),"")</f>
        <v>FieldSkill</v>
      </c>
      <c r="K83" s="10" t="str">
        <f>IFERROR(VLOOKUP(A83,'#level_value'!$A$2:$H$9999,4,FALSE),"")</f>
        <v>DefenseCatcher</v>
      </c>
      <c r="L83" s="10" t="str">
        <f>IFERROR(VLOOKUP(A83,'#level_value'!$A$2:$H$9999,7,FALSE),"")</f>
        <v>[10,20,30,40,80]</v>
      </c>
      <c r="M83" s="10" t="str">
        <f>IFERROR(VLOOKUP(A83,'#level_value'!$A$2:$H$9999,8,FALSE),"")</f>
        <v>[0,0,0,0,0]</v>
      </c>
      <c r="N83" s="10" t="str">
        <f>IFERROR(VLOOKUP(B83,'#level_value'!$A$2:$H$9999,3,FALSE),"")</f>
        <v/>
      </c>
      <c r="O83" s="10" t="str">
        <f>IFERROR(VLOOKUP(B83,'#level_value'!$A$2:$H$9999,4,FALSE),"")</f>
        <v/>
      </c>
      <c r="P83" s="10" t="str">
        <f>IFERROR(VLOOKUP(B83,'#level_value'!$A$2:$H$9999,7,FALSE),"")</f>
        <v/>
      </c>
      <c r="Q83" s="10" t="str">
        <f>IFERROR(VLOOKUP(B83,'#level_value'!$A$2:$H$9999,8,FALSE),"")</f>
        <v/>
      </c>
      <c r="R83" s="10" t="str">
        <f>IFERROR(VLOOKUP(C83,'#level_value'!$A$2:$H$9999,3,FALSE),"")</f>
        <v/>
      </c>
      <c r="S83" s="10" t="str">
        <f>IFERROR(VLOOKUP(C83,'#level_value'!$A$2:$H$9999,4,FALSE),"")</f>
        <v/>
      </c>
      <c r="T83" s="10" t="str">
        <f>IFERROR(VLOOKUP(C83,'#level_value'!$A$2:$H$9999,7,FALSE),"")</f>
        <v/>
      </c>
      <c r="U83" s="10" t="str">
        <f>IFERROR(VLOOKUP(C83,'#level_value'!$A$2:$H$9999,8,FALSE),"")</f>
        <v/>
      </c>
    </row>
    <row r="84" ht="16.5" customHeight="1">
      <c r="A84" s="18">
        <f t="shared" si="76"/>
        <v>10214</v>
      </c>
      <c r="B84" s="6">
        <f t="shared" ref="B84:C84" si="88">A84+10000</f>
        <v>20214</v>
      </c>
      <c r="C84" s="6">
        <f t="shared" si="88"/>
        <v>30214</v>
      </c>
      <c r="D84" s="7" t="str">
        <f t="shared" si="3"/>
        <v>SkillName.10214</v>
      </c>
      <c r="E84" s="8" t="s">
        <v>169</v>
      </c>
      <c r="F84" s="7" t="str">
        <f t="shared" si="4"/>
        <v>SkillDesc.10214</v>
      </c>
      <c r="G84" s="8" t="s">
        <v>170</v>
      </c>
      <c r="H84" s="7"/>
      <c r="I84" s="10" t="s">
        <v>150</v>
      </c>
      <c r="J84" s="10" t="str">
        <f>IFERROR(VLOOKUP(A84,'#level_value'!$A$2:$H$9999,3,FALSE),"")</f>
        <v>FieldSkill</v>
      </c>
      <c r="K84" s="10" t="str">
        <f>IFERROR(VLOOKUP(A84,'#level_value'!$A$2:$H$9999,4,FALSE),"")</f>
        <v>DefenseInfield</v>
      </c>
      <c r="L84" s="10" t="str">
        <f>IFERROR(VLOOKUP(A84,'#level_value'!$A$2:$H$9999,7,FALSE),"")</f>
        <v>[20,30,45,75,100]</v>
      </c>
      <c r="M84" s="10" t="str">
        <f>IFERROR(VLOOKUP(A84,'#level_value'!$A$2:$H$9999,8,FALSE),"")</f>
        <v>[0,0,0,0,0]</v>
      </c>
      <c r="N84" s="10" t="str">
        <f>IFERROR(VLOOKUP(B84,'#level_value'!$A$2:$H$9999,3,FALSE),"")</f>
        <v/>
      </c>
      <c r="O84" s="10" t="str">
        <f>IFERROR(VLOOKUP(B84,'#level_value'!$A$2:$H$9999,4,FALSE),"")</f>
        <v/>
      </c>
      <c r="P84" s="10" t="str">
        <f>IFERROR(VLOOKUP(B84,'#level_value'!$A$2:$H$9999,7,FALSE),"")</f>
        <v/>
      </c>
      <c r="Q84" s="10" t="str">
        <f>IFERROR(VLOOKUP(B84,'#level_value'!$A$2:$H$9999,8,FALSE),"")</f>
        <v/>
      </c>
      <c r="R84" s="10" t="str">
        <f>IFERROR(VLOOKUP(C84,'#level_value'!$A$2:$H$9999,3,FALSE),"")</f>
        <v/>
      </c>
      <c r="S84" s="10" t="str">
        <f>IFERROR(VLOOKUP(C84,'#level_value'!$A$2:$H$9999,4,FALSE),"")</f>
        <v/>
      </c>
      <c r="T84" s="10" t="str">
        <f>IFERROR(VLOOKUP(C84,'#level_value'!$A$2:$H$9999,7,FALSE),"")</f>
        <v/>
      </c>
      <c r="U84" s="10" t="str">
        <f>IFERROR(VLOOKUP(C84,'#level_value'!$A$2:$H$9999,8,FALSE),"")</f>
        <v/>
      </c>
    </row>
    <row r="85" ht="16.5" customHeight="1">
      <c r="A85" s="18">
        <f t="shared" si="76"/>
        <v>10215</v>
      </c>
      <c r="B85" s="6">
        <f t="shared" ref="B85:C85" si="89">A85+10000</f>
        <v>20215</v>
      </c>
      <c r="C85" s="6">
        <f t="shared" si="89"/>
        <v>30215</v>
      </c>
      <c r="D85" s="7" t="str">
        <f t="shared" si="3"/>
        <v>SkillName.10215</v>
      </c>
      <c r="E85" s="8" t="s">
        <v>171</v>
      </c>
      <c r="F85" s="7" t="str">
        <f t="shared" si="4"/>
        <v>SkillDesc.10215</v>
      </c>
      <c r="G85" s="8" t="s">
        <v>172</v>
      </c>
      <c r="H85" s="7"/>
      <c r="I85" s="10" t="s">
        <v>150</v>
      </c>
      <c r="J85" s="10" t="str">
        <f>IFERROR(VLOOKUP(A85,'#level_value'!$A$2:$H$9999,3,FALSE),"")</f>
        <v>FieldSkill</v>
      </c>
      <c r="K85" s="10" t="str">
        <f>IFERROR(VLOOKUP(A85,'#level_value'!$A$2:$H$9999,4,FALSE),"")</f>
        <v>DefenseInfield</v>
      </c>
      <c r="L85" s="10" t="str">
        <f>IFERROR(VLOOKUP(A85,'#level_value'!$A$2:$H$9999,7,FALSE),"")</f>
        <v>[20,30,45,75,100]</v>
      </c>
      <c r="M85" s="10" t="str">
        <f>IFERROR(VLOOKUP(A85,'#level_value'!$A$2:$H$9999,8,FALSE),"")</f>
        <v>[0,0,0,0,0]</v>
      </c>
      <c r="N85" s="10" t="str">
        <f>IFERROR(VLOOKUP(B85,'#level_value'!$A$2:$H$9999,3,FALSE),"")</f>
        <v/>
      </c>
      <c r="O85" s="10" t="str">
        <f>IFERROR(VLOOKUP(B85,'#level_value'!$A$2:$H$9999,4,FALSE),"")</f>
        <v/>
      </c>
      <c r="P85" s="10" t="str">
        <f>IFERROR(VLOOKUP(B85,'#level_value'!$A$2:$H$9999,7,FALSE),"")</f>
        <v/>
      </c>
      <c r="Q85" s="10" t="str">
        <f>IFERROR(VLOOKUP(B85,'#level_value'!$A$2:$H$9999,8,FALSE),"")</f>
        <v/>
      </c>
      <c r="R85" s="10" t="str">
        <f>IFERROR(VLOOKUP(C85,'#level_value'!$A$2:$H$9999,3,FALSE),"")</f>
        <v/>
      </c>
      <c r="S85" s="10" t="str">
        <f>IFERROR(VLOOKUP(C85,'#level_value'!$A$2:$H$9999,4,FALSE),"")</f>
        <v/>
      </c>
      <c r="T85" s="10" t="str">
        <f>IFERROR(VLOOKUP(C85,'#level_value'!$A$2:$H$9999,7,FALSE),"")</f>
        <v/>
      </c>
      <c r="U85" s="10" t="str">
        <f>IFERROR(VLOOKUP(C85,'#level_value'!$A$2:$H$9999,8,FALSE),"")</f>
        <v/>
      </c>
    </row>
    <row r="86" ht="16.5" customHeight="1">
      <c r="A86" s="18">
        <f t="shared" si="76"/>
        <v>10216</v>
      </c>
      <c r="B86" s="6">
        <f t="shared" ref="B86:C86" si="90">A86+10000</f>
        <v>20216</v>
      </c>
      <c r="C86" s="6">
        <f t="shared" si="90"/>
        <v>30216</v>
      </c>
      <c r="D86" s="7" t="str">
        <f t="shared" si="3"/>
        <v>SkillName.10216</v>
      </c>
      <c r="E86" s="8" t="s">
        <v>173</v>
      </c>
      <c r="F86" s="7" t="str">
        <f t="shared" si="4"/>
        <v>SkillDesc.10216</v>
      </c>
      <c r="G86" s="16" t="s">
        <v>174</v>
      </c>
      <c r="H86" s="7"/>
      <c r="I86" s="10" t="s">
        <v>150</v>
      </c>
      <c r="J86" s="10" t="str">
        <f>IFERROR(VLOOKUP(A86,'#level_value'!$A$2:$H$9999,3,FALSE),"")</f>
        <v>FieldSkill</v>
      </c>
      <c r="K86" s="10" t="str">
        <f>IFERROR(VLOOKUP(A86,'#level_value'!$A$2:$H$9999,4,FALSE),"")</f>
        <v>DefenseOutfield</v>
      </c>
      <c r="L86" s="10" t="str">
        <f>IFERROR(VLOOKUP(A86,'#level_value'!$A$2:$H$9999,7,FALSE),"")</f>
        <v>[20,30,45,75,100]</v>
      </c>
      <c r="M86" s="10" t="str">
        <f>IFERROR(VLOOKUP(A86,'#level_value'!$A$2:$H$9999,8,FALSE),"")</f>
        <v>[0,0,0,0,0]</v>
      </c>
      <c r="N86" s="10" t="str">
        <f>IFERROR(VLOOKUP(B86,'#level_value'!$A$2:$H$9999,3,FALSE),"")</f>
        <v/>
      </c>
      <c r="O86" s="10" t="str">
        <f>IFERROR(VLOOKUP(B86,'#level_value'!$A$2:$H$9999,4,FALSE),"")</f>
        <v/>
      </c>
      <c r="P86" s="10" t="str">
        <f>IFERROR(VLOOKUP(B86,'#level_value'!$A$2:$H$9999,7,FALSE),"")</f>
        <v/>
      </c>
      <c r="Q86" s="10" t="str">
        <f>IFERROR(VLOOKUP(B86,'#level_value'!$A$2:$H$9999,8,FALSE),"")</f>
        <v/>
      </c>
      <c r="R86" s="10" t="str">
        <f>IFERROR(VLOOKUP(C86,'#level_value'!$A$2:$H$9999,3,FALSE),"")</f>
        <v/>
      </c>
      <c r="S86" s="10" t="str">
        <f>IFERROR(VLOOKUP(C86,'#level_value'!$A$2:$H$9999,4,FALSE),"")</f>
        <v/>
      </c>
      <c r="T86" s="10" t="str">
        <f>IFERROR(VLOOKUP(C86,'#level_value'!$A$2:$H$9999,7,FALSE),"")</f>
        <v/>
      </c>
      <c r="U86" s="10" t="str">
        <f>IFERROR(VLOOKUP(C86,'#level_value'!$A$2:$H$9999,8,FALSE),"")</f>
        <v/>
      </c>
    </row>
    <row r="87" ht="16.5" customHeight="1">
      <c r="A87" s="18">
        <f t="shared" si="76"/>
        <v>10217</v>
      </c>
      <c r="B87" s="6">
        <f t="shared" ref="B87:C87" si="91">A87+10000</f>
        <v>20217</v>
      </c>
      <c r="C87" s="6">
        <f t="shared" si="91"/>
        <v>30217</v>
      </c>
      <c r="D87" s="7" t="str">
        <f t="shared" si="3"/>
        <v>SkillName.10217</v>
      </c>
      <c r="E87" s="8" t="s">
        <v>175</v>
      </c>
      <c r="F87" s="7" t="str">
        <f t="shared" si="4"/>
        <v>SkillDesc.10217</v>
      </c>
      <c r="G87" s="8" t="s">
        <v>176</v>
      </c>
      <c r="H87" s="7"/>
      <c r="I87" s="10" t="s">
        <v>150</v>
      </c>
      <c r="J87" s="10" t="str">
        <f>IFERROR(VLOOKUP(A87,'#level_value'!$A$2:$H$9999,3,FALSE),"")</f>
        <v>FieldSkill</v>
      </c>
      <c r="K87" s="10" t="str">
        <f>IFERROR(VLOOKUP(A87,'#level_value'!$A$2:$H$9999,4,FALSE),"")</f>
        <v>DefenseOutfield</v>
      </c>
      <c r="L87" s="10" t="str">
        <f>IFERROR(VLOOKUP(A87,'#level_value'!$A$2:$H$9999,7,FALSE),"")</f>
        <v>[20,30,45,75,100]</v>
      </c>
      <c r="M87" s="10" t="str">
        <f>IFERROR(VLOOKUP(A87,'#level_value'!$A$2:$H$9999,8,FALSE),"")</f>
        <v>[0,0,0,0,0]</v>
      </c>
      <c r="N87" s="10" t="str">
        <f>IFERROR(VLOOKUP(B87,'#level_value'!$A$2:$H$9999,3,FALSE),"")</f>
        <v/>
      </c>
      <c r="O87" s="10" t="str">
        <f>IFERROR(VLOOKUP(B87,'#level_value'!$A$2:$H$9999,4,FALSE),"")</f>
        <v/>
      </c>
      <c r="P87" s="10" t="str">
        <f>IFERROR(VLOOKUP(B87,'#level_value'!$A$2:$H$9999,7,FALSE),"")</f>
        <v/>
      </c>
      <c r="Q87" s="10" t="str">
        <f>IFERROR(VLOOKUP(B87,'#level_value'!$A$2:$H$9999,8,FALSE),"")</f>
        <v/>
      </c>
      <c r="R87" s="10" t="str">
        <f>IFERROR(VLOOKUP(C87,'#level_value'!$A$2:$H$9999,3,FALSE),"")</f>
        <v/>
      </c>
      <c r="S87" s="10" t="str">
        <f>IFERROR(VLOOKUP(C87,'#level_value'!$A$2:$H$9999,4,FALSE),"")</f>
        <v/>
      </c>
      <c r="T87" s="10" t="str">
        <f>IFERROR(VLOOKUP(C87,'#level_value'!$A$2:$H$9999,7,FALSE),"")</f>
        <v/>
      </c>
      <c r="U87" s="10" t="str">
        <f>IFERROR(VLOOKUP(C87,'#level_value'!$A$2:$H$9999,8,FALSE),"")</f>
        <v/>
      </c>
    </row>
    <row r="88" ht="16.5" customHeight="1">
      <c r="A88" s="18">
        <f t="shared" si="76"/>
        <v>10218</v>
      </c>
      <c r="B88" s="6">
        <f t="shared" ref="B88:C88" si="92">A88+10000</f>
        <v>20218</v>
      </c>
      <c r="C88" s="6">
        <f t="shared" si="92"/>
        <v>30218</v>
      </c>
      <c r="D88" s="7" t="str">
        <f t="shared" si="3"/>
        <v>SkillName.10218</v>
      </c>
      <c r="E88" s="8" t="s">
        <v>177</v>
      </c>
      <c r="F88" s="7" t="str">
        <f t="shared" si="4"/>
        <v>SkillDesc.10218</v>
      </c>
      <c r="G88" s="8" t="s">
        <v>178</v>
      </c>
      <c r="H88" s="7"/>
      <c r="I88" s="10" t="s">
        <v>150</v>
      </c>
      <c r="J88" s="10" t="str">
        <f>IFERROR(VLOOKUP(A88,'#level_value'!$A$2:$H$9999,3,FALSE),"")</f>
        <v>FieldSkill</v>
      </c>
      <c r="K88" s="10" t="str">
        <f>IFERROR(VLOOKUP(A88,'#level_value'!$A$2:$H$9999,4,FALSE),"")</f>
        <v>DefenseOutfield</v>
      </c>
      <c r="L88" s="10" t="str">
        <f>IFERROR(VLOOKUP(A88,'#level_value'!$A$2:$H$9999,7,FALSE),"")</f>
        <v>[20,30,45,75,100]</v>
      </c>
      <c r="M88" s="10" t="str">
        <f>IFERROR(VLOOKUP(A88,'#level_value'!$A$2:$H$9999,8,FALSE),"")</f>
        <v>[0,0,0,0,0]</v>
      </c>
      <c r="N88" s="10" t="str">
        <f>IFERROR(VLOOKUP(B88,'#level_value'!$A$2:$H$9999,3,FALSE),"")</f>
        <v/>
      </c>
      <c r="O88" s="10" t="str">
        <f>IFERROR(VLOOKUP(B88,'#level_value'!$A$2:$H$9999,4,FALSE),"")</f>
        <v/>
      </c>
      <c r="P88" s="10" t="str">
        <f>IFERROR(VLOOKUP(B88,'#level_value'!$A$2:$H$9999,7,FALSE),"")</f>
        <v/>
      </c>
      <c r="Q88" s="10" t="str">
        <f>IFERROR(VLOOKUP(B88,'#level_value'!$A$2:$H$9999,8,FALSE),"")</f>
        <v/>
      </c>
      <c r="R88" s="10" t="str">
        <f>IFERROR(VLOOKUP(C88,'#level_value'!$A$2:$H$9999,3,FALSE),"")</f>
        <v/>
      </c>
      <c r="S88" s="10" t="str">
        <f>IFERROR(VLOOKUP(C88,'#level_value'!$A$2:$H$9999,4,FALSE),"")</f>
        <v/>
      </c>
      <c r="T88" s="10" t="str">
        <f>IFERROR(VLOOKUP(C88,'#level_value'!$A$2:$H$9999,7,FALSE),"")</f>
        <v/>
      </c>
      <c r="U88" s="10" t="str">
        <f>IFERROR(VLOOKUP(C88,'#level_value'!$A$2:$H$9999,8,FALSE),"")</f>
        <v/>
      </c>
    </row>
    <row r="89" ht="16.5" customHeight="1">
      <c r="A89" s="18">
        <f t="shared" si="76"/>
        <v>10219</v>
      </c>
      <c r="B89" s="6">
        <f t="shared" ref="B89:C89" si="93">A89+10000</f>
        <v>20219</v>
      </c>
      <c r="C89" s="6">
        <f t="shared" si="93"/>
        <v>30219</v>
      </c>
      <c r="D89" s="7" t="str">
        <f t="shared" si="3"/>
        <v>SkillName.10219</v>
      </c>
      <c r="E89" s="8" t="s">
        <v>179</v>
      </c>
      <c r="F89" s="7" t="str">
        <f t="shared" si="4"/>
        <v>SkillDesc.10219</v>
      </c>
      <c r="G89" s="8" t="s">
        <v>180</v>
      </c>
      <c r="H89" s="7"/>
      <c r="I89" s="10" t="s">
        <v>150</v>
      </c>
      <c r="J89" s="10" t="str">
        <f>IFERROR(VLOOKUP(A89,'#level_value'!$A$2:$H$9999,3,FALSE),"")</f>
        <v>Throwing</v>
      </c>
      <c r="K89" s="10" t="str">
        <f>IFERROR(VLOOKUP(A89,'#level_value'!$A$2:$H$9999,4,FALSE),"")</f>
        <v>DefenseCatcher</v>
      </c>
      <c r="L89" s="10" t="str">
        <f>IFERROR(VLOOKUP(A89,'#level_value'!$A$2:$H$9999,7,FALSE),"")</f>
        <v>[0,0,0,0,0]</v>
      </c>
      <c r="M89" s="10" t="str">
        <f>IFERROR(VLOOKUP(A89,'#level_value'!$A$2:$H$9999,8,FALSE),"")</f>
        <v>[5,7,10,15,20]</v>
      </c>
      <c r="N89" s="10" t="str">
        <f>IFERROR(VLOOKUP(B89,'#level_value'!$A$2:$H$9999,3,FALSE),"")</f>
        <v/>
      </c>
      <c r="O89" s="10" t="str">
        <f>IFERROR(VLOOKUP(B89,'#level_value'!$A$2:$H$9999,4,FALSE),"")</f>
        <v/>
      </c>
      <c r="P89" s="10" t="str">
        <f>IFERROR(VLOOKUP(B89,'#level_value'!$A$2:$H$9999,7,FALSE),"")</f>
        <v/>
      </c>
      <c r="Q89" s="10" t="str">
        <f>IFERROR(VLOOKUP(B89,'#level_value'!$A$2:$H$9999,8,FALSE),"")</f>
        <v/>
      </c>
      <c r="R89" s="10" t="str">
        <f>IFERROR(VLOOKUP(C89,'#level_value'!$A$2:$H$9999,3,FALSE),"")</f>
        <v/>
      </c>
      <c r="S89" s="10" t="str">
        <f>IFERROR(VLOOKUP(C89,'#level_value'!$A$2:$H$9999,4,FALSE),"")</f>
        <v/>
      </c>
      <c r="T89" s="10" t="str">
        <f>IFERROR(VLOOKUP(C89,'#level_value'!$A$2:$H$9999,7,FALSE),"")</f>
        <v/>
      </c>
      <c r="U89" s="10" t="str">
        <f>IFERROR(VLOOKUP(C89,'#level_value'!$A$2:$H$9999,8,FALSE),"")</f>
        <v/>
      </c>
    </row>
    <row r="90" ht="16.5" customHeight="1">
      <c r="A90" s="18">
        <f t="shared" si="76"/>
        <v>10220</v>
      </c>
      <c r="B90" s="6">
        <f t="shared" ref="B90:C90" si="94">A90+10000</f>
        <v>20220</v>
      </c>
      <c r="C90" s="6">
        <f t="shared" si="94"/>
        <v>30220</v>
      </c>
      <c r="D90" s="7" t="str">
        <f t="shared" si="3"/>
        <v>SkillName.10220</v>
      </c>
      <c r="E90" s="8" t="s">
        <v>181</v>
      </c>
      <c r="F90" s="7" t="str">
        <f t="shared" si="4"/>
        <v>SkillDesc.10220</v>
      </c>
      <c r="G90" s="8" t="s">
        <v>180</v>
      </c>
      <c r="H90" s="7"/>
      <c r="I90" s="10" t="s">
        <v>150</v>
      </c>
      <c r="J90" s="10" t="str">
        <f>IFERROR(VLOOKUP(A90,'#level_value'!$A$2:$H$9999,3,FALSE),"")</f>
        <v>Throwing</v>
      </c>
      <c r="K90" s="10" t="str">
        <f>IFERROR(VLOOKUP(A90,'#level_value'!$A$2:$H$9999,4,FALSE),"")</f>
        <v>DefenseCatcher</v>
      </c>
      <c r="L90" s="10" t="str">
        <f>IFERROR(VLOOKUP(A90,'#level_value'!$A$2:$H$9999,7,FALSE),"")</f>
        <v>[0,0,0,0,0]</v>
      </c>
      <c r="M90" s="10" t="str">
        <f>IFERROR(VLOOKUP(A90,'#level_value'!$A$2:$H$9999,8,FALSE),"")</f>
        <v>[10,14,20,30,40]</v>
      </c>
      <c r="N90" s="10" t="str">
        <f>IFERROR(VLOOKUP(B90,'#level_value'!$A$2:$H$9999,3,FALSE),"")</f>
        <v/>
      </c>
      <c r="O90" s="10" t="str">
        <f>IFERROR(VLOOKUP(B90,'#level_value'!$A$2:$H$9999,4,FALSE),"")</f>
        <v/>
      </c>
      <c r="P90" s="10" t="str">
        <f>IFERROR(VLOOKUP(B90,'#level_value'!$A$2:$H$9999,7,FALSE),"")</f>
        <v/>
      </c>
      <c r="Q90" s="10" t="str">
        <f>IFERROR(VLOOKUP(B90,'#level_value'!$A$2:$H$9999,8,FALSE),"")</f>
        <v/>
      </c>
      <c r="R90" s="10" t="str">
        <f>IFERROR(VLOOKUP(C90,'#level_value'!$A$2:$H$9999,3,FALSE),"")</f>
        <v/>
      </c>
      <c r="S90" s="10" t="str">
        <f>IFERROR(VLOOKUP(C90,'#level_value'!$A$2:$H$9999,4,FALSE),"")</f>
        <v/>
      </c>
      <c r="T90" s="10" t="str">
        <f>IFERROR(VLOOKUP(C90,'#level_value'!$A$2:$H$9999,7,FALSE),"")</f>
        <v/>
      </c>
      <c r="U90" s="10" t="str">
        <f>IFERROR(VLOOKUP(C90,'#level_value'!$A$2:$H$9999,8,FALSE),"")</f>
        <v/>
      </c>
    </row>
    <row r="91" ht="16.5" customHeight="1">
      <c r="A91" s="18">
        <f t="shared" si="76"/>
        <v>10221</v>
      </c>
      <c r="B91" s="6">
        <f t="shared" ref="B91:C91" si="95">A91+10000</f>
        <v>20221</v>
      </c>
      <c r="C91" s="6">
        <f t="shared" si="95"/>
        <v>30221</v>
      </c>
      <c r="D91" s="7" t="str">
        <f t="shared" si="3"/>
        <v>SkillName.10221</v>
      </c>
      <c r="E91" s="8" t="s">
        <v>182</v>
      </c>
      <c r="F91" s="7" t="str">
        <f t="shared" si="4"/>
        <v>SkillDesc.10221</v>
      </c>
      <c r="G91" s="8" t="s">
        <v>183</v>
      </c>
      <c r="H91" s="7"/>
      <c r="I91" s="10" t="s">
        <v>150</v>
      </c>
      <c r="J91" s="10" t="str">
        <f>IFERROR(VLOOKUP(A91,'#level_value'!$A$2:$H$9999,3,FALSE),"")</f>
        <v>Throwing</v>
      </c>
      <c r="K91" s="10" t="str">
        <f>IFERROR(VLOOKUP(A91,'#level_value'!$A$2:$H$9999,4,FALSE),"")</f>
        <v>DefenseInfield</v>
      </c>
      <c r="L91" s="10" t="str">
        <f>IFERROR(VLOOKUP(A91,'#level_value'!$A$2:$H$9999,7,FALSE),"")</f>
        <v>[0,0,0,0,0]</v>
      </c>
      <c r="M91" s="10" t="str">
        <f>IFERROR(VLOOKUP(A91,'#level_value'!$A$2:$H$9999,8,FALSE),"")</f>
        <v>[5,7,10,15,20]</v>
      </c>
      <c r="N91" s="10" t="str">
        <f>IFERROR(VLOOKUP(B91,'#level_value'!$A$2:$H$9999,3,FALSE),"")</f>
        <v/>
      </c>
      <c r="O91" s="10" t="str">
        <f>IFERROR(VLOOKUP(B91,'#level_value'!$A$2:$H$9999,4,FALSE),"")</f>
        <v/>
      </c>
      <c r="P91" s="10" t="str">
        <f>IFERROR(VLOOKUP(B91,'#level_value'!$A$2:$H$9999,7,FALSE),"")</f>
        <v/>
      </c>
      <c r="Q91" s="10" t="str">
        <f>IFERROR(VLOOKUP(B91,'#level_value'!$A$2:$H$9999,8,FALSE),"")</f>
        <v/>
      </c>
      <c r="R91" s="10" t="str">
        <f>IFERROR(VLOOKUP(C91,'#level_value'!$A$2:$H$9999,3,FALSE),"")</f>
        <v/>
      </c>
      <c r="S91" s="10" t="str">
        <f>IFERROR(VLOOKUP(C91,'#level_value'!$A$2:$H$9999,4,FALSE),"")</f>
        <v/>
      </c>
      <c r="T91" s="10" t="str">
        <f>IFERROR(VLOOKUP(C91,'#level_value'!$A$2:$H$9999,7,FALSE),"")</f>
        <v/>
      </c>
      <c r="U91" s="10" t="str">
        <f>IFERROR(VLOOKUP(C91,'#level_value'!$A$2:$H$9999,8,FALSE),"")</f>
        <v/>
      </c>
    </row>
    <row r="92" ht="16.5" customHeight="1">
      <c r="A92" s="18">
        <f t="shared" si="76"/>
        <v>10222</v>
      </c>
      <c r="B92" s="6">
        <f t="shared" ref="B92:C92" si="96">A92+10000</f>
        <v>20222</v>
      </c>
      <c r="C92" s="6">
        <f t="shared" si="96"/>
        <v>30222</v>
      </c>
      <c r="D92" s="7" t="str">
        <f t="shared" si="3"/>
        <v>SkillName.10222</v>
      </c>
      <c r="E92" s="8" t="s">
        <v>184</v>
      </c>
      <c r="F92" s="7" t="str">
        <f t="shared" si="4"/>
        <v>SkillDesc.10222</v>
      </c>
      <c r="G92" s="8" t="s">
        <v>183</v>
      </c>
      <c r="H92" s="7"/>
      <c r="I92" s="10" t="s">
        <v>150</v>
      </c>
      <c r="J92" s="10" t="str">
        <f>IFERROR(VLOOKUP(A92,'#level_value'!$A$2:$H$9999,3,FALSE),"")</f>
        <v>Throwing</v>
      </c>
      <c r="K92" s="10" t="str">
        <f>IFERROR(VLOOKUP(A92,'#level_value'!$A$2:$H$9999,4,FALSE),"")</f>
        <v>DefenseInfield</v>
      </c>
      <c r="L92" s="10" t="str">
        <f>IFERROR(VLOOKUP(A92,'#level_value'!$A$2:$H$9999,7,FALSE),"")</f>
        <v>[0,0,0,0,0]</v>
      </c>
      <c r="M92" s="10" t="str">
        <f>IFERROR(VLOOKUP(A92,'#level_value'!$A$2:$H$9999,8,FALSE),"")</f>
        <v>[10,14,20,30,40]</v>
      </c>
      <c r="N92" s="10" t="str">
        <f>IFERROR(VLOOKUP(B92,'#level_value'!$A$2:$H$9999,3,FALSE),"")</f>
        <v/>
      </c>
      <c r="O92" s="10" t="str">
        <f>IFERROR(VLOOKUP(B92,'#level_value'!$A$2:$H$9999,4,FALSE),"")</f>
        <v/>
      </c>
      <c r="P92" s="10" t="str">
        <f>IFERROR(VLOOKUP(B92,'#level_value'!$A$2:$H$9999,7,FALSE),"")</f>
        <v/>
      </c>
      <c r="Q92" s="10" t="str">
        <f>IFERROR(VLOOKUP(B92,'#level_value'!$A$2:$H$9999,8,FALSE),"")</f>
        <v/>
      </c>
      <c r="R92" s="10" t="str">
        <f>IFERROR(VLOOKUP(C92,'#level_value'!$A$2:$H$9999,3,FALSE),"")</f>
        <v/>
      </c>
      <c r="S92" s="10" t="str">
        <f>IFERROR(VLOOKUP(C92,'#level_value'!$A$2:$H$9999,4,FALSE),"")</f>
        <v/>
      </c>
      <c r="T92" s="10" t="str">
        <f>IFERROR(VLOOKUP(C92,'#level_value'!$A$2:$H$9999,7,FALSE),"")</f>
        <v/>
      </c>
      <c r="U92" s="10" t="str">
        <f>IFERROR(VLOOKUP(C92,'#level_value'!$A$2:$H$9999,8,FALSE),"")</f>
        <v/>
      </c>
    </row>
    <row r="93" ht="16.5" customHeight="1">
      <c r="A93" s="18">
        <f t="shared" si="76"/>
        <v>10223</v>
      </c>
      <c r="B93" s="6">
        <f t="shared" ref="B93:C93" si="97">A93+10000</f>
        <v>20223</v>
      </c>
      <c r="C93" s="6">
        <f t="shared" si="97"/>
        <v>30223</v>
      </c>
      <c r="D93" s="7" t="str">
        <f t="shared" si="3"/>
        <v>SkillName.10223</v>
      </c>
      <c r="E93" s="8" t="s">
        <v>185</v>
      </c>
      <c r="F93" s="7" t="str">
        <f t="shared" si="4"/>
        <v>SkillDesc.10223</v>
      </c>
      <c r="G93" s="8" t="s">
        <v>186</v>
      </c>
      <c r="H93" s="7"/>
      <c r="I93" s="10" t="s">
        <v>150</v>
      </c>
      <c r="J93" s="10" t="str">
        <f>IFERROR(VLOOKUP(A93,'#level_value'!$A$2:$H$9999,3,FALSE),"")</f>
        <v>Throwing</v>
      </c>
      <c r="K93" s="10" t="str">
        <f>IFERROR(VLOOKUP(A93,'#level_value'!$A$2:$H$9999,4,FALSE),"")</f>
        <v>DefenseOutfield</v>
      </c>
      <c r="L93" s="10" t="str">
        <f>IFERROR(VLOOKUP(A93,'#level_value'!$A$2:$H$9999,7,FALSE),"")</f>
        <v>[0,0,0,0,0]</v>
      </c>
      <c r="M93" s="10" t="str">
        <f>IFERROR(VLOOKUP(A93,'#level_value'!$A$2:$H$9999,8,FALSE),"")</f>
        <v>[5,7,10,15,20]</v>
      </c>
      <c r="N93" s="10" t="str">
        <f>IFERROR(VLOOKUP(B93,'#level_value'!$A$2:$H$9999,3,FALSE),"")</f>
        <v/>
      </c>
      <c r="O93" s="10" t="str">
        <f>IFERROR(VLOOKUP(B93,'#level_value'!$A$2:$H$9999,4,FALSE),"")</f>
        <v/>
      </c>
      <c r="P93" s="10" t="str">
        <f>IFERROR(VLOOKUP(B93,'#level_value'!$A$2:$H$9999,7,FALSE),"")</f>
        <v/>
      </c>
      <c r="Q93" s="10" t="str">
        <f>IFERROR(VLOOKUP(B93,'#level_value'!$A$2:$H$9999,8,FALSE),"")</f>
        <v/>
      </c>
      <c r="R93" s="10" t="str">
        <f>IFERROR(VLOOKUP(C93,'#level_value'!$A$2:$H$9999,3,FALSE),"")</f>
        <v/>
      </c>
      <c r="S93" s="10" t="str">
        <f>IFERROR(VLOOKUP(C93,'#level_value'!$A$2:$H$9999,4,FALSE),"")</f>
        <v/>
      </c>
      <c r="T93" s="10" t="str">
        <f>IFERROR(VLOOKUP(C93,'#level_value'!$A$2:$H$9999,7,FALSE),"")</f>
        <v/>
      </c>
      <c r="U93" s="10" t="str">
        <f>IFERROR(VLOOKUP(C93,'#level_value'!$A$2:$H$9999,8,FALSE),"")</f>
        <v/>
      </c>
    </row>
    <row r="94" ht="16.5" customHeight="1">
      <c r="A94" s="18">
        <f t="shared" si="76"/>
        <v>10224</v>
      </c>
      <c r="B94" s="6">
        <f t="shared" ref="B94:C94" si="98">A94+10000</f>
        <v>20224</v>
      </c>
      <c r="C94" s="6">
        <f t="shared" si="98"/>
        <v>30224</v>
      </c>
      <c r="D94" s="7" t="str">
        <f t="shared" si="3"/>
        <v>SkillName.10224</v>
      </c>
      <c r="E94" s="8" t="s">
        <v>187</v>
      </c>
      <c r="F94" s="7" t="str">
        <f t="shared" si="4"/>
        <v>SkillDesc.10224</v>
      </c>
      <c r="G94" s="8" t="s">
        <v>186</v>
      </c>
      <c r="H94" s="7"/>
      <c r="I94" s="10" t="s">
        <v>150</v>
      </c>
      <c r="J94" s="10" t="str">
        <f>IFERROR(VLOOKUP(A94,'#level_value'!$A$2:$H$9999,3,FALSE),"")</f>
        <v>Throwing</v>
      </c>
      <c r="K94" s="10" t="str">
        <f>IFERROR(VLOOKUP(A94,'#level_value'!$A$2:$H$9999,4,FALSE),"")</f>
        <v>DefenseOutfield</v>
      </c>
      <c r="L94" s="10" t="str">
        <f>IFERROR(VLOOKUP(A94,'#level_value'!$A$2:$H$9999,7,FALSE),"")</f>
        <v>[0,0,0,0,0]</v>
      </c>
      <c r="M94" s="10" t="str">
        <f>IFERROR(VLOOKUP(A94,'#level_value'!$A$2:$H$9999,8,FALSE),"")</f>
        <v>[10,14,20,30,40]</v>
      </c>
      <c r="N94" s="10" t="str">
        <f>IFERROR(VLOOKUP(B94,'#level_value'!$A$2:$H$9999,3,FALSE),"")</f>
        <v/>
      </c>
      <c r="O94" s="10" t="str">
        <f>IFERROR(VLOOKUP(B94,'#level_value'!$A$2:$H$9999,4,FALSE),"")</f>
        <v/>
      </c>
      <c r="P94" s="10" t="str">
        <f>IFERROR(VLOOKUP(B94,'#level_value'!$A$2:$H$9999,7,FALSE),"")</f>
        <v/>
      </c>
      <c r="Q94" s="10" t="str">
        <f>IFERROR(VLOOKUP(B94,'#level_value'!$A$2:$H$9999,8,FALSE),"")</f>
        <v/>
      </c>
      <c r="R94" s="10" t="str">
        <f>IFERROR(VLOOKUP(C94,'#level_value'!$A$2:$H$9999,3,FALSE),"")</f>
        <v/>
      </c>
      <c r="S94" s="10" t="str">
        <f>IFERROR(VLOOKUP(C94,'#level_value'!$A$2:$H$9999,4,FALSE),"")</f>
        <v/>
      </c>
      <c r="T94" s="10" t="str">
        <f>IFERROR(VLOOKUP(C94,'#level_value'!$A$2:$H$9999,7,FALSE),"")</f>
        <v/>
      </c>
      <c r="U94" s="10" t="str">
        <f>IFERROR(VLOOKUP(C94,'#level_value'!$A$2:$H$9999,8,FALSE),"")</f>
        <v/>
      </c>
    </row>
    <row r="95" ht="16.5" customHeight="1">
      <c r="A95" s="18">
        <f t="shared" si="76"/>
        <v>10225</v>
      </c>
      <c r="B95" s="6">
        <f t="shared" ref="B95:C95" si="99">A95+10000</f>
        <v>20225</v>
      </c>
      <c r="C95" s="6">
        <f t="shared" si="99"/>
        <v>30225</v>
      </c>
      <c r="D95" s="7" t="str">
        <f t="shared" si="3"/>
        <v>SkillName.10225</v>
      </c>
      <c r="E95" s="8" t="s">
        <v>188</v>
      </c>
      <c r="F95" s="7" t="str">
        <f t="shared" si="4"/>
        <v>SkillDesc.10225</v>
      </c>
      <c r="G95" s="8" t="s">
        <v>189</v>
      </c>
      <c r="H95" s="7"/>
      <c r="I95" s="10" t="s">
        <v>150</v>
      </c>
      <c r="J95" s="10" t="str">
        <f>IFERROR(VLOOKUP(A95,'#level_value'!$A$2:$H$9999,3,FALSE),"")</f>
        <v>FieldSkill</v>
      </c>
      <c r="K95" s="10" t="str">
        <f>IFERROR(VLOOKUP(A95,'#level_value'!$A$2:$H$9999,4,FALSE),"")</f>
        <v>DefenseAll</v>
      </c>
      <c r="L95" s="10" t="str">
        <f>IFERROR(VLOOKUP(A95,'#level_value'!$A$2:$H$9999,7,FALSE),"")</f>
        <v>[0]</v>
      </c>
      <c r="M95" s="10" t="str">
        <f>IFERROR(VLOOKUP(A95,'#level_value'!$A$2:$H$9999,8,FALSE),"")</f>
        <v>[0]</v>
      </c>
      <c r="N95" s="10" t="str">
        <f>IFERROR(VLOOKUP(B95,'#level_value'!$A$2:$H$9999,3,FALSE),"")</f>
        <v/>
      </c>
      <c r="O95" s="10" t="str">
        <f>IFERROR(VLOOKUP(B95,'#level_value'!$A$2:$H$9999,4,FALSE),"")</f>
        <v/>
      </c>
      <c r="P95" s="10" t="str">
        <f>IFERROR(VLOOKUP(B95,'#level_value'!$A$2:$H$9999,7,FALSE),"")</f>
        <v/>
      </c>
      <c r="Q95" s="10" t="str">
        <f>IFERROR(VLOOKUP(B95,'#level_value'!$A$2:$H$9999,8,FALSE),"")</f>
        <v/>
      </c>
      <c r="R95" s="10" t="str">
        <f>IFERROR(VLOOKUP(C95,'#level_value'!$A$2:$H$9999,3,FALSE),"")</f>
        <v/>
      </c>
      <c r="S95" s="10" t="str">
        <f>IFERROR(VLOOKUP(C95,'#level_value'!$A$2:$H$9999,4,FALSE),"")</f>
        <v/>
      </c>
      <c r="T95" s="10" t="str">
        <f>IFERROR(VLOOKUP(C95,'#level_value'!$A$2:$H$9999,7,FALSE),"")</f>
        <v/>
      </c>
      <c r="U95" s="10" t="str">
        <f>IFERROR(VLOOKUP(C95,'#level_value'!$A$2:$H$9999,8,FALSE),"")</f>
        <v/>
      </c>
    </row>
    <row r="96" ht="16.5" customHeight="1">
      <c r="A96" s="18">
        <f t="shared" si="76"/>
        <v>10226</v>
      </c>
      <c r="B96" s="6">
        <f t="shared" ref="B96:C96" si="100">A96+10000</f>
        <v>20226</v>
      </c>
      <c r="C96" s="6">
        <f t="shared" si="100"/>
        <v>30226</v>
      </c>
      <c r="D96" s="7" t="str">
        <f t="shared" si="3"/>
        <v>SkillName.10226</v>
      </c>
      <c r="E96" s="8" t="s">
        <v>190</v>
      </c>
      <c r="F96" s="7" t="str">
        <f t="shared" si="4"/>
        <v>SkillDesc.10226</v>
      </c>
      <c r="G96" s="8" t="s">
        <v>191</v>
      </c>
      <c r="H96" s="7"/>
      <c r="I96" s="10" t="s">
        <v>150</v>
      </c>
      <c r="J96" s="10" t="str">
        <f>IFERROR(VLOOKUP(A96,'#level_value'!$A$2:$H$9999,3,FALSE),"")</f>
        <v>FieldSkill</v>
      </c>
      <c r="K96" s="10" t="str">
        <f>IFERROR(VLOOKUP(A96,'#level_value'!$A$2:$H$9999,4,FALSE),"")</f>
        <v>DefenseAll</v>
      </c>
      <c r="L96" s="10" t="str">
        <f>IFERROR(VLOOKUP(A96,'#level_value'!$A$2:$H$9999,7,FALSE),"")</f>
        <v>[0]</v>
      </c>
      <c r="M96" s="10" t="str">
        <f>IFERROR(VLOOKUP(A96,'#level_value'!$A$2:$H$9999,8,FALSE),"")</f>
        <v>[0]</v>
      </c>
      <c r="N96" s="10" t="str">
        <f>IFERROR(VLOOKUP(B96,'#level_value'!$A$2:$H$9999,3,FALSE),"")</f>
        <v/>
      </c>
      <c r="O96" s="10" t="str">
        <f>IFERROR(VLOOKUP(B96,'#level_value'!$A$2:$H$9999,4,FALSE),"")</f>
        <v/>
      </c>
      <c r="P96" s="10" t="str">
        <f>IFERROR(VLOOKUP(B96,'#level_value'!$A$2:$H$9999,7,FALSE),"")</f>
        <v/>
      </c>
      <c r="Q96" s="10" t="str">
        <f>IFERROR(VLOOKUP(B96,'#level_value'!$A$2:$H$9999,8,FALSE),"")</f>
        <v/>
      </c>
      <c r="R96" s="10" t="str">
        <f>IFERROR(VLOOKUP(C96,'#level_value'!$A$2:$H$9999,3,FALSE),"")</f>
        <v/>
      </c>
      <c r="S96" s="10" t="str">
        <f>IFERROR(VLOOKUP(C96,'#level_value'!$A$2:$H$9999,4,FALSE),"")</f>
        <v/>
      </c>
      <c r="T96" s="10" t="str">
        <f>IFERROR(VLOOKUP(C96,'#level_value'!$A$2:$H$9999,7,FALSE),"")</f>
        <v/>
      </c>
      <c r="U96" s="10" t="str">
        <f>IFERROR(VLOOKUP(C96,'#level_value'!$A$2:$H$9999,8,FALSE),"")</f>
        <v/>
      </c>
    </row>
    <row r="97" ht="16.5" customHeight="1">
      <c r="A97" s="14">
        <v>10301.0</v>
      </c>
      <c r="B97" s="6">
        <f t="shared" ref="B97:C97" si="101">A97+10000</f>
        <v>20301</v>
      </c>
      <c r="C97" s="6">
        <f t="shared" si="101"/>
        <v>30301</v>
      </c>
      <c r="D97" s="7" t="str">
        <f t="shared" si="3"/>
        <v>SkillName.10301</v>
      </c>
      <c r="E97" s="8" t="s">
        <v>192</v>
      </c>
      <c r="F97" s="7" t="str">
        <f t="shared" si="4"/>
        <v>SkillDesc.10301</v>
      </c>
      <c r="G97" s="8" t="s">
        <v>193</v>
      </c>
      <c r="H97" s="7"/>
      <c r="I97" s="10" t="s">
        <v>150</v>
      </c>
      <c r="J97" s="10" t="str">
        <f>IFERROR(VLOOKUP(A97,'#level_value'!$A$2:$H$9999,3,FALSE),"")</f>
        <v>RunningSkill</v>
      </c>
      <c r="K97" s="10" t="str">
        <f>IFERROR(VLOOKUP(A97,'#level_value'!$A$2:$H$9999,4,FALSE),"")</f>
        <v>OnRunning</v>
      </c>
      <c r="L97" s="10" t="str">
        <f>IFERROR(VLOOKUP(A97,'#level_value'!$A$2:$H$9999,7,FALSE),"")</f>
        <v>[5,10,15,20,40]</v>
      </c>
      <c r="M97" s="10" t="str">
        <f>IFERROR(VLOOKUP(A97,'#level_value'!$A$2:$H$9999,8,FALSE),"")</f>
        <v>[0,0,0,0,0]</v>
      </c>
      <c r="N97" s="10" t="str">
        <f>IFERROR(VLOOKUP(B97,'#level_value'!$A$2:$H$9999,3,FALSE),"")</f>
        <v/>
      </c>
      <c r="O97" s="10" t="str">
        <f>IFERROR(VLOOKUP(B97,'#level_value'!$A$2:$H$9999,4,FALSE),"")</f>
        <v/>
      </c>
      <c r="P97" s="10" t="str">
        <f>IFERROR(VLOOKUP(B97,'#level_value'!$A$2:$H$9999,7,FALSE),"")</f>
        <v/>
      </c>
      <c r="Q97" s="10" t="str">
        <f>IFERROR(VLOOKUP(B97,'#level_value'!$A$2:$H$9999,8,FALSE),"")</f>
        <v/>
      </c>
      <c r="R97" s="10" t="str">
        <f>IFERROR(VLOOKUP(C97,'#level_value'!$A$2:$H$9999,3,FALSE),"")</f>
        <v/>
      </c>
      <c r="S97" s="10" t="str">
        <f>IFERROR(VLOOKUP(C97,'#level_value'!$A$2:$H$9999,4,FALSE),"")</f>
        <v/>
      </c>
      <c r="T97" s="10" t="str">
        <f>IFERROR(VLOOKUP(C97,'#level_value'!$A$2:$H$9999,7,FALSE),"")</f>
        <v/>
      </c>
      <c r="U97" s="10" t="str">
        <f>IFERROR(VLOOKUP(C97,'#level_value'!$A$2:$H$9999,8,FALSE),"")</f>
        <v/>
      </c>
    </row>
    <row r="98" ht="16.5" customHeight="1">
      <c r="A98" s="15">
        <f t="shared" ref="A98:A105" si="103">A97+1</f>
        <v>10302</v>
      </c>
      <c r="B98" s="6">
        <f t="shared" ref="B98:C98" si="102">A98+10000</f>
        <v>20302</v>
      </c>
      <c r="C98" s="6">
        <f t="shared" si="102"/>
        <v>30302</v>
      </c>
      <c r="D98" s="7" t="str">
        <f t="shared" si="3"/>
        <v>SkillName.10302</v>
      </c>
      <c r="E98" s="8" t="s">
        <v>194</v>
      </c>
      <c r="F98" s="7" t="str">
        <f t="shared" si="4"/>
        <v>SkillDesc.10302</v>
      </c>
      <c r="G98" s="8" t="s">
        <v>193</v>
      </c>
      <c r="H98" s="7"/>
      <c r="I98" s="10" t="s">
        <v>150</v>
      </c>
      <c r="J98" s="10" t="str">
        <f>IFERROR(VLOOKUP(A98,'#level_value'!$A$2:$H$9999,3,FALSE),"")</f>
        <v>RunningSkill</v>
      </c>
      <c r="K98" s="10" t="str">
        <f>IFERROR(VLOOKUP(A98,'#level_value'!$A$2:$H$9999,4,FALSE),"")</f>
        <v>OnRunning</v>
      </c>
      <c r="L98" s="10" t="str">
        <f>IFERROR(VLOOKUP(A98,'#level_value'!$A$2:$H$9999,7,FALSE),"")</f>
        <v>[10,20,30,40,80]</v>
      </c>
      <c r="M98" s="10" t="str">
        <f>IFERROR(VLOOKUP(A98,'#level_value'!$A$2:$H$9999,8,FALSE),"")</f>
        <v>[0,0,0,0,0]</v>
      </c>
      <c r="N98" s="10" t="str">
        <f>IFERROR(VLOOKUP(B98,'#level_value'!$A$2:$H$9999,3,FALSE),"")</f>
        <v/>
      </c>
      <c r="O98" s="10" t="str">
        <f>IFERROR(VLOOKUP(B98,'#level_value'!$A$2:$H$9999,4,FALSE),"")</f>
        <v/>
      </c>
      <c r="P98" s="10" t="str">
        <f>IFERROR(VLOOKUP(B98,'#level_value'!$A$2:$H$9999,7,FALSE),"")</f>
        <v/>
      </c>
      <c r="Q98" s="10" t="str">
        <f>IFERROR(VLOOKUP(B98,'#level_value'!$A$2:$H$9999,8,FALSE),"")</f>
        <v/>
      </c>
      <c r="R98" s="10" t="str">
        <f>IFERROR(VLOOKUP(C98,'#level_value'!$A$2:$H$9999,3,FALSE),"")</f>
        <v/>
      </c>
      <c r="S98" s="10" t="str">
        <f>IFERROR(VLOOKUP(C98,'#level_value'!$A$2:$H$9999,4,FALSE),"")</f>
        <v/>
      </c>
      <c r="T98" s="10" t="str">
        <f>IFERROR(VLOOKUP(C98,'#level_value'!$A$2:$H$9999,7,FALSE),"")</f>
        <v/>
      </c>
      <c r="U98" s="10" t="str">
        <f>IFERROR(VLOOKUP(C98,'#level_value'!$A$2:$H$9999,8,FALSE),"")</f>
        <v/>
      </c>
    </row>
    <row r="99" ht="16.5" customHeight="1">
      <c r="A99" s="15">
        <f t="shared" si="103"/>
        <v>10303</v>
      </c>
      <c r="B99" s="6">
        <f t="shared" ref="B99:C99" si="104">A99+10000</f>
        <v>20303</v>
      </c>
      <c r="C99" s="6">
        <f t="shared" si="104"/>
        <v>30303</v>
      </c>
      <c r="D99" s="7" t="str">
        <f t="shared" si="3"/>
        <v>SkillName.10303</v>
      </c>
      <c r="E99" s="8" t="s">
        <v>195</v>
      </c>
      <c r="F99" s="7" t="str">
        <f t="shared" si="4"/>
        <v>SkillDesc.10303</v>
      </c>
      <c r="G99" s="8" t="s">
        <v>196</v>
      </c>
      <c r="H99" s="7"/>
      <c r="I99" s="10" t="s">
        <v>150</v>
      </c>
      <c r="J99" s="10" t="str">
        <f>IFERROR(VLOOKUP(A99,'#level_value'!$A$2:$H$9999,3,FALSE),"")</f>
        <v>RunningSkill</v>
      </c>
      <c r="K99" s="10" t="str">
        <f>IFERROR(VLOOKUP(A99,'#level_value'!$A$2:$H$9999,4,FALSE),"")</f>
        <v>OnRunning</v>
      </c>
      <c r="L99" s="10" t="str">
        <f>IFERROR(VLOOKUP(A99,'#level_value'!$A$2:$H$9999,7,FALSE),"")</f>
        <v>[20,30,45,75,100]</v>
      </c>
      <c r="M99" s="10" t="str">
        <f>IFERROR(VLOOKUP(A99,'#level_value'!$A$2:$H$9999,8,FALSE),"")</f>
        <v>[0,0,0,0,0]</v>
      </c>
      <c r="N99" s="10" t="str">
        <f>IFERROR(VLOOKUP(B99,'#level_value'!$A$2:$H$9999,3,FALSE),"")</f>
        <v/>
      </c>
      <c r="O99" s="10" t="str">
        <f>IFERROR(VLOOKUP(B99,'#level_value'!$A$2:$H$9999,4,FALSE),"")</f>
        <v/>
      </c>
      <c r="P99" s="10" t="str">
        <f>IFERROR(VLOOKUP(B99,'#level_value'!$A$2:$H$9999,7,FALSE),"")</f>
        <v/>
      </c>
      <c r="Q99" s="10" t="str">
        <f>IFERROR(VLOOKUP(B99,'#level_value'!$A$2:$H$9999,8,FALSE),"")</f>
        <v/>
      </c>
      <c r="R99" s="10" t="str">
        <f>IFERROR(VLOOKUP(C99,'#level_value'!$A$2:$H$9999,3,FALSE),"")</f>
        <v/>
      </c>
      <c r="S99" s="10" t="str">
        <f>IFERROR(VLOOKUP(C99,'#level_value'!$A$2:$H$9999,4,FALSE),"")</f>
        <v/>
      </c>
      <c r="T99" s="10" t="str">
        <f>IFERROR(VLOOKUP(C99,'#level_value'!$A$2:$H$9999,7,FALSE),"")</f>
        <v/>
      </c>
      <c r="U99" s="10" t="str">
        <f>IFERROR(VLOOKUP(C99,'#level_value'!$A$2:$H$9999,8,FALSE),"")</f>
        <v/>
      </c>
    </row>
    <row r="100" ht="19.5" customHeight="1">
      <c r="A100" s="15">
        <f t="shared" si="103"/>
        <v>10304</v>
      </c>
      <c r="B100" s="6">
        <f t="shared" ref="B100:C100" si="105">A100+10000</f>
        <v>20304</v>
      </c>
      <c r="C100" s="6">
        <f t="shared" si="105"/>
        <v>30304</v>
      </c>
      <c r="D100" s="7" t="str">
        <f t="shared" si="3"/>
        <v>SkillName.10304</v>
      </c>
      <c r="E100" s="8" t="s">
        <v>197</v>
      </c>
      <c r="F100" s="7" t="str">
        <f t="shared" si="4"/>
        <v>SkillDesc.10304</v>
      </c>
      <c r="G100" s="8" t="s">
        <v>198</v>
      </c>
      <c r="H100" s="7"/>
      <c r="I100" s="10" t="s">
        <v>150</v>
      </c>
      <c r="J100" s="10" t="str">
        <f>IFERROR(VLOOKUP(A100,'#level_value'!$A$2:$H$9999,3,FALSE),"")</f>
        <v>RunningSkill</v>
      </c>
      <c r="K100" s="10" t="str">
        <f>IFERROR(VLOOKUP(A100,'#level_value'!$A$2:$H$9999,4,FALSE),"")</f>
        <v>OnRunning</v>
      </c>
      <c r="L100" s="10" t="str">
        <f>IFERROR(VLOOKUP(A100,'#level_value'!$A$2:$H$9999,7,FALSE),"")</f>
        <v>[10,20,30,40,50]</v>
      </c>
      <c r="M100" s="10" t="str">
        <f>IFERROR(VLOOKUP(A100,'#level_value'!$A$2:$H$9999,8,FALSE),"")</f>
        <v>[0,0,0,0,0]</v>
      </c>
      <c r="N100" s="10" t="str">
        <f>IFERROR(VLOOKUP(B100,'#level_value'!$A$2:$H$9999,3,FALSE),"")</f>
        <v/>
      </c>
      <c r="O100" s="10" t="str">
        <f>IFERROR(VLOOKUP(B100,'#level_value'!$A$2:$H$9999,4,FALSE),"")</f>
        <v/>
      </c>
      <c r="P100" s="10" t="str">
        <f>IFERROR(VLOOKUP(B100,'#level_value'!$A$2:$H$9999,7,FALSE),"")</f>
        <v/>
      </c>
      <c r="Q100" s="10" t="str">
        <f>IFERROR(VLOOKUP(B100,'#level_value'!$A$2:$H$9999,8,FALSE),"")</f>
        <v/>
      </c>
      <c r="R100" s="10" t="str">
        <f>IFERROR(VLOOKUP(C100,'#level_value'!$A$2:$H$9999,3,FALSE),"")</f>
        <v/>
      </c>
      <c r="S100" s="10" t="str">
        <f>IFERROR(VLOOKUP(C100,'#level_value'!$A$2:$H$9999,4,FALSE),"")</f>
        <v/>
      </c>
      <c r="T100" s="10" t="str">
        <f>IFERROR(VLOOKUP(C100,'#level_value'!$A$2:$H$9999,7,FALSE),"")</f>
        <v/>
      </c>
      <c r="U100" s="10" t="str">
        <f>IFERROR(VLOOKUP(C100,'#level_value'!$A$2:$H$9999,8,FALSE),"")</f>
        <v/>
      </c>
    </row>
    <row r="101" ht="16.5" customHeight="1">
      <c r="A101" s="15">
        <f t="shared" si="103"/>
        <v>10305</v>
      </c>
      <c r="B101" s="6">
        <f t="shared" ref="B101:C101" si="106">A101+10000</f>
        <v>20305</v>
      </c>
      <c r="C101" s="6">
        <f t="shared" si="106"/>
        <v>30305</v>
      </c>
      <c r="D101" s="7" t="str">
        <f t="shared" si="3"/>
        <v>SkillName.10305</v>
      </c>
      <c r="E101" s="8" t="s">
        <v>199</v>
      </c>
      <c r="F101" s="7" t="str">
        <f t="shared" si="4"/>
        <v>SkillDesc.10305</v>
      </c>
      <c r="G101" s="8" t="s">
        <v>200</v>
      </c>
      <c r="H101" s="7"/>
      <c r="I101" s="10" t="s">
        <v>150</v>
      </c>
      <c r="J101" s="10" t="str">
        <f>IFERROR(VLOOKUP(A101,'#level_value'!$A$2:$H$9999,3,FALSE),"")</f>
        <v>RunningSkill</v>
      </c>
      <c r="K101" s="10" t="str">
        <f>IFERROR(VLOOKUP(A101,'#level_value'!$A$2:$H$9999,4,FALSE),"")</f>
        <v>OnRunning</v>
      </c>
      <c r="L101" s="10" t="str">
        <f>IFERROR(VLOOKUP(A101,'#level_value'!$A$2:$H$9999,7,FALSE),"")</f>
        <v>[10,20,30,40,50]</v>
      </c>
      <c r="M101" s="10" t="str">
        <f>IFERROR(VLOOKUP(A101,'#level_value'!$A$2:$H$9999,8,FALSE),"")</f>
        <v>[0,0,0,0,0]</v>
      </c>
      <c r="N101" s="10" t="str">
        <f>IFERROR(VLOOKUP(B101,'#level_value'!$A$2:$H$9999,3,FALSE),"")</f>
        <v/>
      </c>
      <c r="O101" s="10" t="str">
        <f>IFERROR(VLOOKUP(B101,'#level_value'!$A$2:$H$9999,4,FALSE),"")</f>
        <v/>
      </c>
      <c r="P101" s="10" t="str">
        <f>IFERROR(VLOOKUP(B101,'#level_value'!$A$2:$H$9999,7,FALSE),"")</f>
        <v/>
      </c>
      <c r="Q101" s="10" t="str">
        <f>IFERROR(VLOOKUP(B101,'#level_value'!$A$2:$H$9999,8,FALSE),"")</f>
        <v/>
      </c>
      <c r="R101" s="10" t="str">
        <f>IFERROR(VLOOKUP(C101,'#level_value'!$A$2:$H$9999,3,FALSE),"")</f>
        <v/>
      </c>
      <c r="S101" s="10" t="str">
        <f>IFERROR(VLOOKUP(C101,'#level_value'!$A$2:$H$9999,4,FALSE),"")</f>
        <v/>
      </c>
      <c r="T101" s="10" t="str">
        <f>IFERROR(VLOOKUP(C101,'#level_value'!$A$2:$H$9999,7,FALSE),"")</f>
        <v/>
      </c>
      <c r="U101" s="10" t="str">
        <f>IFERROR(VLOOKUP(C101,'#level_value'!$A$2:$H$9999,8,FALSE),"")</f>
        <v/>
      </c>
    </row>
    <row r="102" ht="16.5" customHeight="1">
      <c r="A102" s="15">
        <f t="shared" si="103"/>
        <v>10306</v>
      </c>
      <c r="B102" s="6">
        <f t="shared" ref="B102:C102" si="107">A102+10000</f>
        <v>20306</v>
      </c>
      <c r="C102" s="6">
        <f t="shared" si="107"/>
        <v>30306</v>
      </c>
      <c r="D102" s="7" t="str">
        <f t="shared" si="3"/>
        <v>SkillName.10306</v>
      </c>
      <c r="E102" s="8" t="s">
        <v>201</v>
      </c>
      <c r="F102" s="7" t="str">
        <f t="shared" si="4"/>
        <v>SkillDesc.10306</v>
      </c>
      <c r="G102" s="8" t="s">
        <v>202</v>
      </c>
      <c r="H102" s="7"/>
      <c r="I102" s="10" t="s">
        <v>150</v>
      </c>
      <c r="J102" s="10" t="str">
        <f>IFERROR(VLOOKUP(A102,'#level_value'!$A$2:$H$9999,3,FALSE),"")</f>
        <v>RunningSkill</v>
      </c>
      <c r="K102" s="10" t="str">
        <f>IFERROR(VLOOKUP(A102,'#level_value'!$A$2:$H$9999,4,FALSE),"")</f>
        <v>OnRunning</v>
      </c>
      <c r="L102" s="10" t="str">
        <f>IFERROR(VLOOKUP(A102,'#level_value'!$A$2:$H$9999,7,FALSE),"")</f>
        <v>[5,10,15,20,40]</v>
      </c>
      <c r="M102" s="10" t="str">
        <f>IFERROR(VLOOKUP(A102,'#level_value'!$A$2:$H$9999,8,FALSE),"")</f>
        <v>[0,0,0,0,0]</v>
      </c>
      <c r="N102" s="10" t="str">
        <f>IFERROR(VLOOKUP(B102,'#level_value'!$A$2:$H$9999,3,FALSE),"")</f>
        <v/>
      </c>
      <c r="O102" s="10" t="str">
        <f>IFERROR(VLOOKUP(B102,'#level_value'!$A$2:$H$9999,4,FALSE),"")</f>
        <v/>
      </c>
      <c r="P102" s="10" t="str">
        <f>IFERROR(VLOOKUP(B102,'#level_value'!$A$2:$H$9999,7,FALSE),"")</f>
        <v/>
      </c>
      <c r="Q102" s="10" t="str">
        <f>IFERROR(VLOOKUP(B102,'#level_value'!$A$2:$H$9999,8,FALSE),"")</f>
        <v/>
      </c>
      <c r="R102" s="10" t="str">
        <f>IFERROR(VLOOKUP(C102,'#level_value'!$A$2:$H$9999,3,FALSE),"")</f>
        <v/>
      </c>
      <c r="S102" s="10" t="str">
        <f>IFERROR(VLOOKUP(C102,'#level_value'!$A$2:$H$9999,4,FALSE),"")</f>
        <v/>
      </c>
      <c r="T102" s="10" t="str">
        <f>IFERROR(VLOOKUP(C102,'#level_value'!$A$2:$H$9999,7,FALSE),"")</f>
        <v/>
      </c>
      <c r="U102" s="10" t="str">
        <f>IFERROR(VLOOKUP(C102,'#level_value'!$A$2:$H$9999,8,FALSE),"")</f>
        <v/>
      </c>
    </row>
    <row r="103" ht="16.5" customHeight="1">
      <c r="A103" s="15">
        <f t="shared" si="103"/>
        <v>10307</v>
      </c>
      <c r="B103" s="6">
        <f t="shared" ref="B103:C103" si="108">A103+10000</f>
        <v>20307</v>
      </c>
      <c r="C103" s="6">
        <f t="shared" si="108"/>
        <v>30307</v>
      </c>
      <c r="D103" s="7" t="str">
        <f t="shared" si="3"/>
        <v>SkillName.10307</v>
      </c>
      <c r="E103" s="8" t="s">
        <v>203</v>
      </c>
      <c r="F103" s="7" t="str">
        <f t="shared" si="4"/>
        <v>SkillDesc.10307</v>
      </c>
      <c r="G103" s="8" t="s">
        <v>202</v>
      </c>
      <c r="H103" s="7"/>
      <c r="I103" s="10" t="s">
        <v>150</v>
      </c>
      <c r="J103" s="10" t="str">
        <f>IFERROR(VLOOKUP(A103,'#level_value'!$A$2:$H$9999,3,FALSE),"")</f>
        <v>RunningSkill</v>
      </c>
      <c r="K103" s="10" t="str">
        <f>IFERROR(VLOOKUP(A103,'#level_value'!$A$2:$H$9999,4,FALSE),"")</f>
        <v>OnRunning</v>
      </c>
      <c r="L103" s="10" t="str">
        <f>IFERROR(VLOOKUP(A103,'#level_value'!$A$2:$H$9999,7,FALSE),"")</f>
        <v>[10,20,30,40,80]</v>
      </c>
      <c r="M103" s="10" t="str">
        <f>IFERROR(VLOOKUP(A103,'#level_value'!$A$2:$H$9999,8,FALSE),"")</f>
        <v>[0,0,0,0,0]</v>
      </c>
      <c r="N103" s="10" t="str">
        <f>IFERROR(VLOOKUP(B103,'#level_value'!$A$2:$H$9999,3,FALSE),"")</f>
        <v/>
      </c>
      <c r="O103" s="10" t="str">
        <f>IFERROR(VLOOKUP(B103,'#level_value'!$A$2:$H$9999,4,FALSE),"")</f>
        <v/>
      </c>
      <c r="P103" s="10" t="str">
        <f>IFERROR(VLOOKUP(B103,'#level_value'!$A$2:$H$9999,7,FALSE),"")</f>
        <v/>
      </c>
      <c r="Q103" s="10" t="str">
        <f>IFERROR(VLOOKUP(B103,'#level_value'!$A$2:$H$9999,8,FALSE),"")</f>
        <v/>
      </c>
      <c r="R103" s="10" t="str">
        <f>IFERROR(VLOOKUP(C103,'#level_value'!$A$2:$H$9999,3,FALSE),"")</f>
        <v/>
      </c>
      <c r="S103" s="10" t="str">
        <f>IFERROR(VLOOKUP(C103,'#level_value'!$A$2:$H$9999,4,FALSE),"")</f>
        <v/>
      </c>
      <c r="T103" s="10" t="str">
        <f>IFERROR(VLOOKUP(C103,'#level_value'!$A$2:$H$9999,7,FALSE),"")</f>
        <v/>
      </c>
      <c r="U103" s="10" t="str">
        <f>IFERROR(VLOOKUP(C103,'#level_value'!$A$2:$H$9999,8,FALSE),"")</f>
        <v/>
      </c>
    </row>
    <row r="104" ht="16.5" customHeight="1">
      <c r="A104" s="15">
        <f t="shared" si="103"/>
        <v>10308</v>
      </c>
      <c r="B104" s="6">
        <f t="shared" ref="B104:C104" si="109">A104+10000</f>
        <v>20308</v>
      </c>
      <c r="C104" s="6">
        <f t="shared" si="109"/>
        <v>30308</v>
      </c>
      <c r="D104" s="7" t="str">
        <f t="shared" si="3"/>
        <v>SkillName.10308</v>
      </c>
      <c r="E104" s="8" t="s">
        <v>204</v>
      </c>
      <c r="F104" s="7" t="str">
        <f t="shared" si="4"/>
        <v>SkillDesc.10308</v>
      </c>
      <c r="G104" s="8" t="s">
        <v>205</v>
      </c>
      <c r="H104" s="7"/>
      <c r="I104" s="10" t="s">
        <v>150</v>
      </c>
      <c r="J104" s="10" t="str">
        <f>IFERROR(VLOOKUP(A104,'#level_value'!$A$2:$H$9999,3,FALSE),"")</f>
        <v>Speed</v>
      </c>
      <c r="K104" s="10" t="str">
        <f>IFERROR(VLOOKUP(A104,'#level_value'!$A$2:$H$9999,4,FALSE),"")</f>
        <v>OnRunning</v>
      </c>
      <c r="L104" s="10" t="str">
        <f>IFERROR(VLOOKUP(A104,'#level_value'!$A$2:$H$9999,7,FALSE),"")</f>
        <v>[0,0,0,0,0]</v>
      </c>
      <c r="M104" s="10" t="str">
        <f>IFERROR(VLOOKUP(A104,'#level_value'!$A$2:$H$9999,8,FALSE),"")</f>
        <v>[5,7,10,15,20]</v>
      </c>
      <c r="N104" s="10" t="str">
        <f>IFERROR(VLOOKUP(B104,'#level_value'!$A$2:$H$9999,3,FALSE),"")</f>
        <v/>
      </c>
      <c r="O104" s="10" t="str">
        <f>IFERROR(VLOOKUP(B104,'#level_value'!$A$2:$H$9999,4,FALSE),"")</f>
        <v/>
      </c>
      <c r="P104" s="10" t="str">
        <f>IFERROR(VLOOKUP(B104,'#level_value'!$A$2:$H$9999,7,FALSE),"")</f>
        <v/>
      </c>
      <c r="Q104" s="10" t="str">
        <f>IFERROR(VLOOKUP(B104,'#level_value'!$A$2:$H$9999,8,FALSE),"")</f>
        <v/>
      </c>
      <c r="R104" s="10" t="str">
        <f>IFERROR(VLOOKUP(C104,'#level_value'!$A$2:$H$9999,3,FALSE),"")</f>
        <v/>
      </c>
      <c r="S104" s="10" t="str">
        <f>IFERROR(VLOOKUP(C104,'#level_value'!$A$2:$H$9999,4,FALSE),"")</f>
        <v/>
      </c>
      <c r="T104" s="10" t="str">
        <f>IFERROR(VLOOKUP(C104,'#level_value'!$A$2:$H$9999,7,FALSE),"")</f>
        <v/>
      </c>
      <c r="U104" s="10" t="str">
        <f>IFERROR(VLOOKUP(C104,'#level_value'!$A$2:$H$9999,8,FALSE),"")</f>
        <v/>
      </c>
    </row>
    <row r="105" ht="16.5" customHeight="1">
      <c r="A105" s="15">
        <f t="shared" si="103"/>
        <v>10309</v>
      </c>
      <c r="B105" s="6">
        <f t="shared" ref="B105:C105" si="110">A105+10000</f>
        <v>20309</v>
      </c>
      <c r="C105" s="6">
        <f t="shared" si="110"/>
        <v>30309</v>
      </c>
      <c r="D105" s="7" t="str">
        <f t="shared" si="3"/>
        <v>SkillName.10309</v>
      </c>
      <c r="E105" s="8" t="s">
        <v>206</v>
      </c>
      <c r="F105" s="7" t="str">
        <f t="shared" si="4"/>
        <v>SkillDesc.10309</v>
      </c>
      <c r="G105" s="8" t="s">
        <v>205</v>
      </c>
      <c r="H105" s="7"/>
      <c r="I105" s="10" t="s">
        <v>150</v>
      </c>
      <c r="J105" s="10" t="str">
        <f>IFERROR(VLOOKUP(A105,'#level_value'!$A$2:$H$9999,3,FALSE),"")</f>
        <v>Speed</v>
      </c>
      <c r="K105" s="10" t="str">
        <f>IFERROR(VLOOKUP(A105,'#level_value'!$A$2:$H$9999,4,FALSE),"")</f>
        <v>OnRunning</v>
      </c>
      <c r="L105" s="10" t="str">
        <f>IFERROR(VLOOKUP(A105,'#level_value'!$A$2:$H$9999,7,FALSE),"")</f>
        <v>[0,0,0,0,0]</v>
      </c>
      <c r="M105" s="10" t="str">
        <f>IFERROR(VLOOKUP(A105,'#level_value'!$A$2:$H$9999,8,FALSE),"")</f>
        <v>[10,14,20,30,40]</v>
      </c>
      <c r="N105" s="10" t="str">
        <f>IFERROR(VLOOKUP(B105,'#level_value'!$A$2:$H$9999,3,FALSE),"")</f>
        <v/>
      </c>
      <c r="O105" s="10" t="str">
        <f>IFERROR(VLOOKUP(B105,'#level_value'!$A$2:$H$9999,4,FALSE),"")</f>
        <v/>
      </c>
      <c r="P105" s="10" t="str">
        <f>IFERROR(VLOOKUP(B105,'#level_value'!$A$2:$H$9999,7,FALSE),"")</f>
        <v/>
      </c>
      <c r="Q105" s="10" t="str">
        <f>IFERROR(VLOOKUP(B105,'#level_value'!$A$2:$H$9999,8,FALSE),"")</f>
        <v/>
      </c>
      <c r="R105" s="10" t="str">
        <f>IFERROR(VLOOKUP(C105,'#level_value'!$A$2:$H$9999,3,FALSE),"")</f>
        <v/>
      </c>
      <c r="S105" s="10" t="str">
        <f>IFERROR(VLOOKUP(C105,'#level_value'!$A$2:$H$9999,4,FALSE),"")</f>
        <v/>
      </c>
      <c r="T105" s="10" t="str">
        <f>IFERROR(VLOOKUP(C105,'#level_value'!$A$2:$H$9999,7,FALSE),"")</f>
        <v/>
      </c>
      <c r="U105" s="10" t="str">
        <f>IFERROR(VLOOKUP(C105,'#level_value'!$A$2:$H$9999,8,FALSE),"")</f>
        <v/>
      </c>
    </row>
    <row r="106" ht="16.5" customHeight="1">
      <c r="A106" s="19">
        <v>10401.0</v>
      </c>
      <c r="B106" s="6">
        <f t="shared" ref="B106:C106" si="111">A106+10000</f>
        <v>20401</v>
      </c>
      <c r="C106" s="6">
        <f t="shared" si="111"/>
        <v>30401</v>
      </c>
      <c r="D106" s="7" t="str">
        <f t="shared" si="3"/>
        <v>SkillName.10401</v>
      </c>
      <c r="E106" s="8" t="s">
        <v>207</v>
      </c>
      <c r="F106" s="7" t="str">
        <f t="shared" si="4"/>
        <v>SkillDesc.10401</v>
      </c>
      <c r="G106" s="8" t="s">
        <v>208</v>
      </c>
      <c r="H106" s="7"/>
      <c r="I106" s="10" t="s">
        <v>209</v>
      </c>
      <c r="J106" s="10" t="str">
        <f>IFERROR(VLOOKUP(A106,'#level_value'!$A$2:$H$9999,3,FALSE),"")</f>
        <v>Power</v>
      </c>
      <c r="K106" s="10" t="str">
        <f>IFERROR(VLOOKUP(A106,'#level_value'!$A$2:$H$9999,4,FALSE),"")</f>
        <v>WideBatter</v>
      </c>
      <c r="L106" s="10" t="str">
        <f>IFERROR(VLOOKUP(A106,'#level_value'!$A$2:$H$9999,7,FALSE),"")</f>
        <v>[0]</v>
      </c>
      <c r="M106" s="10" t="str">
        <f>IFERROR(VLOOKUP(A106,'#level_value'!$A$2:$H$9999,8,FALSE),"")</f>
        <v>[30]</v>
      </c>
      <c r="N106" s="10" t="str">
        <f>IFERROR(VLOOKUP(B106,'#level_value'!$A$2:$H$9999,3,FALSE),"")</f>
        <v/>
      </c>
      <c r="O106" s="10" t="str">
        <f>IFERROR(VLOOKUP(B106,'#level_value'!$A$2:$H$9999,4,FALSE),"")</f>
        <v/>
      </c>
      <c r="P106" s="10" t="str">
        <f>IFERROR(VLOOKUP(B106,'#level_value'!$A$2:$H$9999,7,FALSE),"")</f>
        <v/>
      </c>
      <c r="Q106" s="10" t="str">
        <f>IFERROR(VLOOKUP(B106,'#level_value'!$A$2:$H$9999,8,FALSE),"")</f>
        <v/>
      </c>
      <c r="R106" s="10" t="str">
        <f>IFERROR(VLOOKUP(C106,'#level_value'!$A$2:$H$9999,3,FALSE),"")</f>
        <v/>
      </c>
      <c r="S106" s="10" t="str">
        <f>IFERROR(VLOOKUP(C106,'#level_value'!$A$2:$H$9999,4,FALSE),"")</f>
        <v/>
      </c>
      <c r="T106" s="10" t="str">
        <f>IFERROR(VLOOKUP(C106,'#level_value'!$A$2:$H$9999,7,FALSE),"")</f>
        <v/>
      </c>
      <c r="U106" s="10" t="str">
        <f>IFERROR(VLOOKUP(C106,'#level_value'!$A$2:$H$9999,8,FALSE),"")</f>
        <v/>
      </c>
    </row>
    <row r="107" ht="16.5" customHeight="1">
      <c r="A107" s="20">
        <f t="shared" ref="A107:A113" si="113">A106+1</f>
        <v>10402</v>
      </c>
      <c r="B107" s="6">
        <f t="shared" ref="B107:C107" si="112">A107+10000</f>
        <v>20402</v>
      </c>
      <c r="C107" s="6">
        <f t="shared" si="112"/>
        <v>30402</v>
      </c>
      <c r="D107" s="7" t="str">
        <f t="shared" si="3"/>
        <v>SkillName.10402</v>
      </c>
      <c r="E107" s="8" t="s">
        <v>210</v>
      </c>
      <c r="F107" s="7" t="str">
        <f t="shared" si="4"/>
        <v>SkillDesc.10402</v>
      </c>
      <c r="G107" s="8" t="s">
        <v>211</v>
      </c>
      <c r="H107" s="7"/>
      <c r="I107" s="10" t="s">
        <v>209</v>
      </c>
      <c r="J107" s="10" t="str">
        <f>IFERROR(VLOOKUP(A107,'#level_value'!$A$2:$H$9999,3,FALSE),"")</f>
        <v>Contact</v>
      </c>
      <c r="K107" s="10" t="str">
        <f>IFERROR(VLOOKUP(A107,'#level_value'!$A$2:$H$9999,4,FALSE),"")</f>
        <v>WideBatter</v>
      </c>
      <c r="L107" s="10" t="str">
        <f>IFERROR(VLOOKUP(A107,'#level_value'!$A$2:$H$9999,7,FALSE),"")</f>
        <v>[0]</v>
      </c>
      <c r="M107" s="10" t="str">
        <f>IFERROR(VLOOKUP(A107,'#level_value'!$A$2:$H$9999,8,FALSE),"")</f>
        <v>[30]</v>
      </c>
      <c r="N107" s="10" t="str">
        <f>IFERROR(VLOOKUP(B107,'#level_value'!$A$2:$H$9999,3,FALSE),"")</f>
        <v/>
      </c>
      <c r="O107" s="10" t="str">
        <f>IFERROR(VLOOKUP(B107,'#level_value'!$A$2:$H$9999,4,FALSE),"")</f>
        <v/>
      </c>
      <c r="P107" s="10" t="str">
        <f>IFERROR(VLOOKUP(B107,'#level_value'!$A$2:$H$9999,7,FALSE),"")</f>
        <v/>
      </c>
      <c r="Q107" s="10" t="str">
        <f>IFERROR(VLOOKUP(B107,'#level_value'!$A$2:$H$9999,8,FALSE),"")</f>
        <v/>
      </c>
      <c r="R107" s="10" t="str">
        <f>IFERROR(VLOOKUP(C107,'#level_value'!$A$2:$H$9999,3,FALSE),"")</f>
        <v/>
      </c>
      <c r="S107" s="10" t="str">
        <f>IFERROR(VLOOKUP(C107,'#level_value'!$A$2:$H$9999,4,FALSE),"")</f>
        <v/>
      </c>
      <c r="T107" s="10" t="str">
        <f>IFERROR(VLOOKUP(C107,'#level_value'!$A$2:$H$9999,7,FALSE),"")</f>
        <v/>
      </c>
      <c r="U107" s="10" t="str">
        <f>IFERROR(VLOOKUP(C107,'#level_value'!$A$2:$H$9999,8,FALSE),"")</f>
        <v/>
      </c>
    </row>
    <row r="108" ht="16.5" customHeight="1">
      <c r="A108" s="20">
        <f t="shared" si="113"/>
        <v>10403</v>
      </c>
      <c r="B108" s="6">
        <f t="shared" ref="B108:C108" si="114">A108+10000</f>
        <v>20403</v>
      </c>
      <c r="C108" s="6">
        <f t="shared" si="114"/>
        <v>30403</v>
      </c>
      <c r="D108" s="7" t="str">
        <f t="shared" si="3"/>
        <v>SkillName.10403</v>
      </c>
      <c r="E108" s="8" t="s">
        <v>212</v>
      </c>
      <c r="F108" s="7" t="str">
        <f t="shared" si="4"/>
        <v>SkillDesc.10403</v>
      </c>
      <c r="G108" s="8" t="s">
        <v>213</v>
      </c>
      <c r="H108" s="7"/>
      <c r="I108" s="10" t="s">
        <v>209</v>
      </c>
      <c r="J108" s="10" t="str">
        <f>IFERROR(VLOOKUP(A108,'#level_value'!$A$2:$H$9999,3,FALSE),"")</f>
        <v>AllDefense</v>
      </c>
      <c r="K108" s="10" t="str">
        <f>IFERROR(VLOOKUP(A108,'#level_value'!$A$2:$H$9999,4,FALSE),"")</f>
        <v>WideDefense</v>
      </c>
      <c r="L108" s="10" t="str">
        <f>IFERROR(VLOOKUP(A108,'#level_value'!$A$2:$H$9999,7,FALSE),"")</f>
        <v>[0]</v>
      </c>
      <c r="M108" s="10" t="str">
        <f>IFERROR(VLOOKUP(A108,'#level_value'!$A$2:$H$9999,8,FALSE),"")</f>
        <v>[30]</v>
      </c>
      <c r="N108" s="10" t="str">
        <f>IFERROR(VLOOKUP(B108,'#level_value'!$A$2:$H$9999,3,FALSE),"")</f>
        <v/>
      </c>
      <c r="O108" s="10" t="str">
        <f>IFERROR(VLOOKUP(B108,'#level_value'!$A$2:$H$9999,4,FALSE),"")</f>
        <v/>
      </c>
      <c r="P108" s="10" t="str">
        <f>IFERROR(VLOOKUP(B108,'#level_value'!$A$2:$H$9999,7,FALSE),"")</f>
        <v/>
      </c>
      <c r="Q108" s="10" t="str">
        <f>IFERROR(VLOOKUP(B108,'#level_value'!$A$2:$H$9999,8,FALSE),"")</f>
        <v/>
      </c>
      <c r="R108" s="10" t="str">
        <f>IFERROR(VLOOKUP(C108,'#level_value'!$A$2:$H$9999,3,FALSE),"")</f>
        <v/>
      </c>
      <c r="S108" s="10" t="str">
        <f>IFERROR(VLOOKUP(C108,'#level_value'!$A$2:$H$9999,4,FALSE),"")</f>
        <v/>
      </c>
      <c r="T108" s="10" t="str">
        <f>IFERROR(VLOOKUP(C108,'#level_value'!$A$2:$H$9999,7,FALSE),"")</f>
        <v/>
      </c>
      <c r="U108" s="10" t="str">
        <f>IFERROR(VLOOKUP(C108,'#level_value'!$A$2:$H$9999,8,FALSE),"")</f>
        <v/>
      </c>
    </row>
    <row r="109" ht="16.5" customHeight="1">
      <c r="A109" s="20">
        <f t="shared" si="113"/>
        <v>10404</v>
      </c>
      <c r="B109" s="6">
        <f t="shared" ref="B109:C109" si="115">A109+10000</f>
        <v>20404</v>
      </c>
      <c r="C109" s="6">
        <f t="shared" si="115"/>
        <v>30404</v>
      </c>
      <c r="D109" s="7" t="str">
        <f t="shared" si="3"/>
        <v>SkillName.10404</v>
      </c>
      <c r="E109" s="8" t="s">
        <v>214</v>
      </c>
      <c r="F109" s="7" t="str">
        <f t="shared" si="4"/>
        <v>SkillDesc.10404</v>
      </c>
      <c r="G109" s="8" t="s">
        <v>215</v>
      </c>
      <c r="H109" s="7"/>
      <c r="I109" s="10" t="s">
        <v>209</v>
      </c>
      <c r="J109" s="10" t="str">
        <f>IFERROR(VLOOKUP(A109,'#level_value'!$A$2:$H$9999,3,FALSE),"")</f>
        <v>Speed</v>
      </c>
      <c r="K109" s="10" t="str">
        <f>IFERROR(VLOOKUP(A109,'#level_value'!$A$2:$H$9999,4,FALSE),"")</f>
        <v>WideRunning</v>
      </c>
      <c r="L109" s="10" t="str">
        <f>IFERROR(VLOOKUP(A109,'#level_value'!$A$2:$H$9999,7,FALSE),"")</f>
        <v>[0]</v>
      </c>
      <c r="M109" s="10" t="str">
        <f>IFERROR(VLOOKUP(A109,'#level_value'!$A$2:$H$9999,8,FALSE),"")</f>
        <v>[30]</v>
      </c>
      <c r="N109" s="10" t="str">
        <f>IFERROR(VLOOKUP(B109,'#level_value'!$A$2:$H$9999,3,FALSE),"")</f>
        <v/>
      </c>
      <c r="O109" s="10" t="str">
        <f>IFERROR(VLOOKUP(B109,'#level_value'!$A$2:$H$9999,4,FALSE),"")</f>
        <v/>
      </c>
      <c r="P109" s="10" t="str">
        <f>IFERROR(VLOOKUP(B109,'#level_value'!$A$2:$H$9999,7,FALSE),"")</f>
        <v/>
      </c>
      <c r="Q109" s="10" t="str">
        <f>IFERROR(VLOOKUP(B109,'#level_value'!$A$2:$H$9999,8,FALSE),"")</f>
        <v/>
      </c>
      <c r="R109" s="10" t="str">
        <f>IFERROR(VLOOKUP(C109,'#level_value'!$A$2:$H$9999,3,FALSE),"")</f>
        <v/>
      </c>
      <c r="S109" s="10" t="str">
        <f>IFERROR(VLOOKUP(C109,'#level_value'!$A$2:$H$9999,4,FALSE),"")</f>
        <v/>
      </c>
      <c r="T109" s="10" t="str">
        <f>IFERROR(VLOOKUP(C109,'#level_value'!$A$2:$H$9999,7,FALSE),"")</f>
        <v/>
      </c>
      <c r="U109" s="10" t="str">
        <f>IFERROR(VLOOKUP(C109,'#level_value'!$A$2:$H$9999,8,FALSE),"")</f>
        <v/>
      </c>
    </row>
    <row r="110" ht="16.5" customHeight="1">
      <c r="A110" s="20">
        <f t="shared" si="113"/>
        <v>10405</v>
      </c>
      <c r="B110" s="6">
        <f t="shared" ref="B110:C110" si="116">A110+10000</f>
        <v>20405</v>
      </c>
      <c r="C110" s="6">
        <f t="shared" si="116"/>
        <v>30405</v>
      </c>
      <c r="D110" s="7" t="str">
        <f t="shared" si="3"/>
        <v>SkillName.10405</v>
      </c>
      <c r="E110" s="8" t="s">
        <v>216</v>
      </c>
      <c r="F110" s="7" t="str">
        <f t="shared" si="4"/>
        <v>SkillDesc.10405</v>
      </c>
      <c r="G110" s="8" t="s">
        <v>217</v>
      </c>
      <c r="H110" s="7"/>
      <c r="I110" s="10" t="s">
        <v>209</v>
      </c>
      <c r="J110" s="10" t="str">
        <f>IFERROR(VLOOKUP(A110,'#level_value'!$A$2:$H$9999,3,FALSE),"")</f>
        <v>Vision</v>
      </c>
      <c r="K110" s="10" t="str">
        <f>IFERROR(VLOOKUP(A110,'#level_value'!$A$2:$H$9999,4,FALSE),"")</f>
        <v>Chance</v>
      </c>
      <c r="L110" s="10" t="str">
        <f>IFERROR(VLOOKUP(A110,'#level_value'!$A$2:$H$9999,7,FALSE),"")</f>
        <v>[0]</v>
      </c>
      <c r="M110" s="10" t="str">
        <f>IFERROR(VLOOKUP(A110,'#level_value'!$A$2:$H$9999,8,FALSE),"")</f>
        <v>[30]</v>
      </c>
      <c r="N110" s="10" t="str">
        <f>IFERROR(VLOOKUP(B110,'#level_value'!$A$2:$H$9999,3,FALSE),"")</f>
        <v/>
      </c>
      <c r="O110" s="10" t="str">
        <f>IFERROR(VLOOKUP(B110,'#level_value'!$A$2:$H$9999,4,FALSE),"")</f>
        <v/>
      </c>
      <c r="P110" s="10" t="str">
        <f>IFERROR(VLOOKUP(B110,'#level_value'!$A$2:$H$9999,7,FALSE),"")</f>
        <v/>
      </c>
      <c r="Q110" s="10" t="str">
        <f>IFERROR(VLOOKUP(B110,'#level_value'!$A$2:$H$9999,8,FALSE),"")</f>
        <v/>
      </c>
      <c r="R110" s="10" t="str">
        <f>IFERROR(VLOOKUP(C110,'#level_value'!$A$2:$H$9999,3,FALSE),"")</f>
        <v/>
      </c>
      <c r="S110" s="10" t="str">
        <f>IFERROR(VLOOKUP(C110,'#level_value'!$A$2:$H$9999,4,FALSE),"")</f>
        <v/>
      </c>
      <c r="T110" s="10" t="str">
        <f>IFERROR(VLOOKUP(C110,'#level_value'!$A$2:$H$9999,7,FALSE),"")</f>
        <v/>
      </c>
      <c r="U110" s="10" t="str">
        <f>IFERROR(VLOOKUP(C110,'#level_value'!$A$2:$H$9999,8,FALSE),"")</f>
        <v/>
      </c>
    </row>
    <row r="111" ht="16.5" customHeight="1">
      <c r="A111" s="20">
        <f t="shared" si="113"/>
        <v>10406</v>
      </c>
      <c r="B111" s="6">
        <f t="shared" ref="B111:C111" si="117">A111+10000</f>
        <v>20406</v>
      </c>
      <c r="C111" s="6">
        <f t="shared" si="117"/>
        <v>30406</v>
      </c>
      <c r="D111" s="7" t="str">
        <f t="shared" si="3"/>
        <v>SkillName.10406</v>
      </c>
      <c r="E111" s="8" t="s">
        <v>218</v>
      </c>
      <c r="F111" s="7" t="str">
        <f t="shared" si="4"/>
        <v>SkillDesc.10406</v>
      </c>
      <c r="G111" s="8" t="s">
        <v>219</v>
      </c>
      <c r="H111" s="7"/>
      <c r="I111" s="10" t="s">
        <v>209</v>
      </c>
      <c r="J111" s="10" t="str">
        <f>IFERROR(VLOOKUP(A111,'#level_value'!$A$2:$H$9999,3,FALSE),"")</f>
        <v>Contact</v>
      </c>
      <c r="K111" s="10" t="str">
        <f>IFERROR(VLOOKUP(A111,'#level_value'!$A$2:$H$9999,4,FALSE),"")</f>
        <v>Inning789</v>
      </c>
      <c r="L111" s="10" t="str">
        <f>IFERROR(VLOOKUP(A111,'#level_value'!$A$2:$H$9999,7,FALSE),"")</f>
        <v>[0]</v>
      </c>
      <c r="M111" s="10" t="str">
        <f>IFERROR(VLOOKUP(A111,'#level_value'!$A$2:$H$9999,8,FALSE),"")</f>
        <v>[30]</v>
      </c>
      <c r="N111" s="10" t="str">
        <f>IFERROR(VLOOKUP(B111,'#level_value'!$A$2:$H$9999,3,FALSE),"")</f>
        <v/>
      </c>
      <c r="O111" s="10" t="str">
        <f>IFERROR(VLOOKUP(B111,'#level_value'!$A$2:$H$9999,4,FALSE),"")</f>
        <v/>
      </c>
      <c r="P111" s="10" t="str">
        <f>IFERROR(VLOOKUP(B111,'#level_value'!$A$2:$H$9999,7,FALSE),"")</f>
        <v/>
      </c>
      <c r="Q111" s="10" t="str">
        <f>IFERROR(VLOOKUP(B111,'#level_value'!$A$2:$H$9999,8,FALSE),"")</f>
        <v/>
      </c>
      <c r="R111" s="10" t="str">
        <f>IFERROR(VLOOKUP(C111,'#level_value'!$A$2:$H$9999,3,FALSE),"")</f>
        <v/>
      </c>
      <c r="S111" s="10" t="str">
        <f>IFERROR(VLOOKUP(C111,'#level_value'!$A$2:$H$9999,4,FALSE),"")</f>
        <v/>
      </c>
      <c r="T111" s="10" t="str">
        <f>IFERROR(VLOOKUP(C111,'#level_value'!$A$2:$H$9999,7,FALSE),"")</f>
        <v/>
      </c>
      <c r="U111" s="10" t="str">
        <f>IFERROR(VLOOKUP(C111,'#level_value'!$A$2:$H$9999,8,FALSE),"")</f>
        <v/>
      </c>
    </row>
    <row r="112" ht="16.5" customHeight="1">
      <c r="A112" s="20">
        <f t="shared" si="113"/>
        <v>10407</v>
      </c>
      <c r="B112" s="6">
        <f t="shared" ref="B112:C112" si="118">A112+10000</f>
        <v>20407</v>
      </c>
      <c r="C112" s="6">
        <f t="shared" si="118"/>
        <v>30407</v>
      </c>
      <c r="D112" s="7" t="str">
        <f t="shared" si="3"/>
        <v>SkillName.10407</v>
      </c>
      <c r="E112" s="8" t="s">
        <v>220</v>
      </c>
      <c r="F112" s="7" t="str">
        <f t="shared" si="4"/>
        <v>SkillDesc.10407</v>
      </c>
      <c r="G112" s="8" t="s">
        <v>221</v>
      </c>
      <c r="H112" s="7"/>
      <c r="I112" s="10" t="s">
        <v>209</v>
      </c>
      <c r="J112" s="10" t="str">
        <f>IFERROR(VLOOKUP(A112,'#level_value'!$A$2:$H$9999,3,FALSE),"")</f>
        <v>HittingSpeed</v>
      </c>
      <c r="K112" s="10" t="str">
        <f>IFERROR(VLOOKUP(A112,'#level_value'!$A$2:$H$9999,4,FALSE),"")</f>
        <v>HomeMatch</v>
      </c>
      <c r="L112" s="10" t="str">
        <f>IFERROR(VLOOKUP(A112,'#level_value'!$A$2:$H$9999,7,FALSE),"")</f>
        <v>[0]</v>
      </c>
      <c r="M112" s="10" t="str">
        <f>IFERROR(VLOOKUP(A112,'#level_value'!$A$2:$H$9999,8,FALSE),"")</f>
        <v>[30000]</v>
      </c>
      <c r="N112" s="10" t="str">
        <f>IFERROR(VLOOKUP(B112,'#level_value'!$A$2:$H$9999,3,FALSE),"")</f>
        <v/>
      </c>
      <c r="O112" s="10" t="str">
        <f>IFERROR(VLOOKUP(B112,'#level_value'!$A$2:$H$9999,4,FALSE),"")</f>
        <v/>
      </c>
      <c r="P112" s="10" t="str">
        <f>IFERROR(VLOOKUP(B112,'#level_value'!$A$2:$H$9999,7,FALSE),"")</f>
        <v/>
      </c>
      <c r="Q112" s="10" t="str">
        <f>IFERROR(VLOOKUP(B112,'#level_value'!$A$2:$H$9999,8,FALSE),"")</f>
        <v/>
      </c>
      <c r="R112" s="10" t="str">
        <f>IFERROR(VLOOKUP(C112,'#level_value'!$A$2:$H$9999,3,FALSE),"")</f>
        <v/>
      </c>
      <c r="S112" s="10" t="str">
        <f>IFERROR(VLOOKUP(C112,'#level_value'!$A$2:$H$9999,4,FALSE),"")</f>
        <v/>
      </c>
      <c r="T112" s="10" t="str">
        <f>IFERROR(VLOOKUP(C112,'#level_value'!$A$2:$H$9999,7,FALSE),"")</f>
        <v/>
      </c>
      <c r="U112" s="10" t="str">
        <f>IFERROR(VLOOKUP(C112,'#level_value'!$A$2:$H$9999,8,FALSE),"")</f>
        <v/>
      </c>
    </row>
    <row r="113" ht="16.5" customHeight="1">
      <c r="A113" s="20">
        <f t="shared" si="113"/>
        <v>10408</v>
      </c>
      <c r="B113" s="6">
        <f t="shared" ref="B113:C113" si="119">A113+10000</f>
        <v>20408</v>
      </c>
      <c r="C113" s="6">
        <f t="shared" si="119"/>
        <v>30408</v>
      </c>
      <c r="D113" s="7" t="str">
        <f t="shared" si="3"/>
        <v>SkillName.10408</v>
      </c>
      <c r="E113" s="8" t="s">
        <v>222</v>
      </c>
      <c r="F113" s="7" t="str">
        <f t="shared" si="4"/>
        <v>SkillDesc.10408</v>
      </c>
      <c r="G113" s="8" t="s">
        <v>223</v>
      </c>
      <c r="H113" s="7"/>
      <c r="I113" s="10" t="s">
        <v>209</v>
      </c>
      <c r="J113" s="10" t="str">
        <f>IFERROR(VLOOKUP(A113,'#level_value'!$A$2:$H$9999,3,FALSE),"")</f>
        <v>Vision</v>
      </c>
      <c r="K113" s="10" t="str">
        <f>IFERROR(VLOOKUP(A113,'#level_value'!$A$2:$H$9999,4,FALSE),"")</f>
        <v>AwayMatch</v>
      </c>
      <c r="L113" s="10" t="str">
        <f>IFERROR(VLOOKUP(A113,'#level_value'!$A$2:$H$9999,7,FALSE),"")</f>
        <v>[0]</v>
      </c>
      <c r="M113" s="10" t="str">
        <f>IFERROR(VLOOKUP(A113,'#level_value'!$A$2:$H$9999,8,FALSE),"")</f>
        <v>[30]</v>
      </c>
      <c r="N113" s="10" t="str">
        <f>IFERROR(VLOOKUP(B113,'#level_value'!$A$2:$H$9999,3,FALSE),"")</f>
        <v/>
      </c>
      <c r="O113" s="10" t="str">
        <f>IFERROR(VLOOKUP(B113,'#level_value'!$A$2:$H$9999,4,FALSE),"")</f>
        <v/>
      </c>
      <c r="P113" s="10" t="str">
        <f>IFERROR(VLOOKUP(B113,'#level_value'!$A$2:$H$9999,7,FALSE),"")</f>
        <v/>
      </c>
      <c r="Q113" s="10" t="str">
        <f>IFERROR(VLOOKUP(B113,'#level_value'!$A$2:$H$9999,8,FALSE),"")</f>
        <v/>
      </c>
      <c r="R113" s="10" t="str">
        <f>IFERROR(VLOOKUP(C113,'#level_value'!$A$2:$H$9999,3,FALSE),"")</f>
        <v/>
      </c>
      <c r="S113" s="10" t="str">
        <f>IFERROR(VLOOKUP(C113,'#level_value'!$A$2:$H$9999,4,FALSE),"")</f>
        <v/>
      </c>
      <c r="T113" s="10" t="str">
        <f>IFERROR(VLOOKUP(C113,'#level_value'!$A$2:$H$9999,7,FALSE),"")</f>
        <v/>
      </c>
      <c r="U113" s="10" t="str">
        <f>IFERROR(VLOOKUP(C113,'#level_value'!$A$2:$H$9999,8,FALSE),"")</f>
        <v/>
      </c>
    </row>
    <row r="114" ht="16.5" customHeight="1">
      <c r="B114" s="6"/>
      <c r="C114" s="6"/>
      <c r="D114" s="7"/>
      <c r="E114" s="8"/>
      <c r="F114" s="7"/>
      <c r="G114" s="8"/>
      <c r="H114" s="7"/>
    </row>
    <row r="115" ht="16.5" customHeight="1">
      <c r="B115" s="6"/>
      <c r="C115" s="6"/>
      <c r="D115" s="7"/>
      <c r="E115" s="8"/>
      <c r="F115" s="7"/>
      <c r="G115" s="8"/>
      <c r="H115" s="7"/>
    </row>
    <row r="116" ht="16.5" customHeight="1">
      <c r="B116" s="6"/>
      <c r="C116" s="6"/>
      <c r="D116" s="7"/>
      <c r="E116" s="8"/>
      <c r="F116" s="7"/>
      <c r="G116" s="8"/>
      <c r="H116" s="7"/>
    </row>
    <row r="117" ht="16.5" customHeight="1">
      <c r="B117" s="6"/>
      <c r="C117" s="6"/>
      <c r="D117" s="7"/>
      <c r="E117" s="8"/>
      <c r="F117" s="7"/>
      <c r="G117" s="8"/>
      <c r="H117" s="7"/>
    </row>
    <row r="118" ht="16.5" customHeight="1">
      <c r="B118" s="6"/>
      <c r="C118" s="6"/>
      <c r="D118" s="7"/>
      <c r="E118" s="8"/>
      <c r="F118" s="7"/>
      <c r="G118" s="8"/>
      <c r="H118" s="7"/>
    </row>
    <row r="119" ht="16.5" customHeight="1">
      <c r="B119" s="6"/>
      <c r="C119" s="6"/>
      <c r="D119" s="7"/>
      <c r="E119" s="8"/>
      <c r="F119" s="7"/>
      <c r="G119" s="8"/>
      <c r="H119" s="7"/>
    </row>
    <row r="120" ht="16.5" customHeight="1">
      <c r="B120" s="6"/>
      <c r="C120" s="6"/>
      <c r="D120" s="7"/>
      <c r="E120" s="8"/>
      <c r="F120" s="7"/>
      <c r="G120" s="8"/>
      <c r="H120" s="7"/>
    </row>
    <row r="121" ht="16.5" customHeight="1">
      <c r="B121" s="6"/>
      <c r="C121" s="6"/>
      <c r="D121" s="7"/>
      <c r="E121" s="8"/>
      <c r="F121" s="7"/>
      <c r="G121" s="8"/>
      <c r="H121" s="7"/>
    </row>
    <row r="122" ht="16.5" customHeight="1">
      <c r="B122" s="6"/>
      <c r="C122" s="6"/>
      <c r="D122" s="7"/>
      <c r="E122" s="8"/>
      <c r="F122" s="7"/>
      <c r="G122" s="8"/>
      <c r="H122" s="7"/>
    </row>
    <row r="123" ht="16.5" customHeight="1">
      <c r="B123" s="6"/>
      <c r="C123" s="6"/>
      <c r="D123" s="7"/>
      <c r="E123" s="8"/>
      <c r="F123" s="7"/>
      <c r="G123" s="8"/>
      <c r="H123" s="7"/>
    </row>
    <row r="124" ht="16.5" customHeight="1">
      <c r="B124" s="6"/>
      <c r="C124" s="6"/>
      <c r="D124" s="7"/>
      <c r="E124" s="8"/>
      <c r="F124" s="7"/>
      <c r="G124" s="8"/>
      <c r="H124" s="7"/>
    </row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43"/>
    <col customWidth="1" min="7" max="7" width="31.0"/>
    <col customWidth="1" min="8" max="8" width="36.0"/>
    <col customWidth="1" min="10" max="10" width="71.71"/>
    <col customWidth="1" min="11" max="11" width="119.0"/>
  </cols>
  <sheetData>
    <row r="1">
      <c r="A1" s="10" t="str">
        <f>"# 스킬 idx " &amp;A3&amp; VLOOKUP(A3,SkillData!A$2:E$459,3,FALSE)</f>
        <v># 스킬 idx 1000130001</v>
      </c>
    </row>
    <row r="2">
      <c r="A2" s="4" t="s">
        <v>224</v>
      </c>
      <c r="B2" s="4" t="s">
        <v>225</v>
      </c>
      <c r="C2" s="4" t="s">
        <v>226</v>
      </c>
      <c r="D2" s="4" t="s">
        <v>227</v>
      </c>
      <c r="E2" s="4" t="s">
        <v>228</v>
      </c>
      <c r="F2" s="4" t="s">
        <v>229</v>
      </c>
    </row>
    <row r="3">
      <c r="A3" s="21">
        <v>10001.0</v>
      </c>
      <c r="B3" s="22">
        <v>1.0</v>
      </c>
      <c r="C3" s="23" t="s">
        <v>230</v>
      </c>
      <c r="D3" s="24" t="s">
        <v>231</v>
      </c>
      <c r="E3" s="22">
        <v>0.0</v>
      </c>
      <c r="F3" s="22">
        <v>5.0</v>
      </c>
      <c r="G3" s="9" t="str">
        <f t="shared" ref="G3:H3" si="1">"[" &amp;E3&amp;","&amp;E4&amp;","&amp;E5&amp;","&amp;E6&amp;","&amp;E7&amp; "]"</f>
        <v>[0,0,0,0,0]</v>
      </c>
      <c r="H3" s="9" t="str">
        <f t="shared" si="1"/>
        <v>[5,8,14,20,30]</v>
      </c>
    </row>
    <row r="4">
      <c r="A4" s="21"/>
      <c r="B4" s="22">
        <v>2.0</v>
      </c>
      <c r="C4" s="23" t="s">
        <v>230</v>
      </c>
      <c r="D4" s="24" t="s">
        <v>231</v>
      </c>
      <c r="E4" s="22">
        <v>0.0</v>
      </c>
      <c r="F4" s="22">
        <v>8.0</v>
      </c>
    </row>
    <row r="5">
      <c r="A5" s="21"/>
      <c r="B5" s="22">
        <v>3.0</v>
      </c>
      <c r="C5" s="23" t="s">
        <v>230</v>
      </c>
      <c r="D5" s="24" t="s">
        <v>231</v>
      </c>
      <c r="E5" s="22">
        <v>0.0</v>
      </c>
      <c r="F5" s="22">
        <v>14.0</v>
      </c>
    </row>
    <row r="6">
      <c r="A6" s="21"/>
      <c r="B6" s="22">
        <v>4.0</v>
      </c>
      <c r="C6" s="23" t="s">
        <v>230</v>
      </c>
      <c r="D6" s="24" t="s">
        <v>231</v>
      </c>
      <c r="E6" s="22">
        <v>0.0</v>
      </c>
      <c r="F6" s="22">
        <v>20.0</v>
      </c>
    </row>
    <row r="7">
      <c r="A7" s="21"/>
      <c r="B7" s="22">
        <v>5.0</v>
      </c>
      <c r="C7" s="23" t="s">
        <v>230</v>
      </c>
      <c r="D7" s="24" t="s">
        <v>231</v>
      </c>
      <c r="E7" s="22">
        <v>0.0</v>
      </c>
      <c r="F7" s="22">
        <v>30.0</v>
      </c>
    </row>
    <row r="9">
      <c r="A9" s="10" t="str">
        <f>"# 스킬 idx " &amp;A11&amp; VLOOKUP(A11,SkillData!A$2:E$459,3,FALSE)</f>
        <v># 스킬 idx 1000230002</v>
      </c>
    </row>
    <row r="10">
      <c r="A10" s="4" t="s">
        <v>224</v>
      </c>
      <c r="B10" s="4" t="s">
        <v>225</v>
      </c>
      <c r="C10" s="4" t="s">
        <v>226</v>
      </c>
      <c r="D10" s="4" t="s">
        <v>227</v>
      </c>
      <c r="E10" s="4" t="s">
        <v>228</v>
      </c>
      <c r="F10" s="4" t="s">
        <v>229</v>
      </c>
    </row>
    <row r="11">
      <c r="A11" s="22">
        <v>10002.0</v>
      </c>
      <c r="B11" s="22">
        <v>1.0</v>
      </c>
      <c r="C11" s="23" t="s">
        <v>230</v>
      </c>
      <c r="D11" s="24" t="s">
        <v>231</v>
      </c>
      <c r="E11" s="22">
        <v>0.0</v>
      </c>
      <c r="F11" s="22">
        <v>10.0</v>
      </c>
      <c r="G11" s="9" t="str">
        <f t="shared" ref="G11:H11" si="2">"[" &amp;E11&amp;","&amp;E12&amp;","&amp;E13&amp;","&amp;E14&amp;","&amp;E15&amp; "]"</f>
        <v>[0,0,0,0,0]</v>
      </c>
      <c r="H11" s="9" t="str">
        <f t="shared" si="2"/>
        <v>[10,16,22,34,50]</v>
      </c>
    </row>
    <row r="12">
      <c r="A12" s="21"/>
      <c r="B12" s="22">
        <v>2.0</v>
      </c>
      <c r="C12" s="23" t="s">
        <v>230</v>
      </c>
      <c r="D12" s="24" t="s">
        <v>231</v>
      </c>
      <c r="E12" s="22">
        <v>0.0</v>
      </c>
      <c r="F12" s="22">
        <v>16.0</v>
      </c>
    </row>
    <row r="13">
      <c r="A13" s="21"/>
      <c r="B13" s="22">
        <v>3.0</v>
      </c>
      <c r="C13" s="23" t="s">
        <v>230</v>
      </c>
      <c r="D13" s="24" t="s">
        <v>231</v>
      </c>
      <c r="E13" s="22">
        <v>0.0</v>
      </c>
      <c r="F13" s="22">
        <v>22.0</v>
      </c>
    </row>
    <row r="14">
      <c r="A14" s="21"/>
      <c r="B14" s="22">
        <v>4.0</v>
      </c>
      <c r="C14" s="23" t="s">
        <v>230</v>
      </c>
      <c r="D14" s="24" t="s">
        <v>231</v>
      </c>
      <c r="E14" s="22">
        <v>0.0</v>
      </c>
      <c r="F14" s="22">
        <v>34.0</v>
      </c>
    </row>
    <row r="15">
      <c r="A15" s="21"/>
      <c r="B15" s="22">
        <v>5.0</v>
      </c>
      <c r="C15" s="23" t="s">
        <v>230</v>
      </c>
      <c r="D15" s="24" t="s">
        <v>231</v>
      </c>
      <c r="E15" s="22">
        <v>0.0</v>
      </c>
      <c r="F15" s="22">
        <v>50.0</v>
      </c>
    </row>
    <row r="17">
      <c r="A17" s="10" t="str">
        <f>"# 스킬 idx " &amp;A19&amp; VLOOKUP(A19,SkillData!A$2:E$459,3,FALSE)</f>
        <v># 스킬 idx 1000330003</v>
      </c>
    </row>
    <row r="18">
      <c r="A18" s="4" t="s">
        <v>224</v>
      </c>
      <c r="B18" s="4" t="s">
        <v>225</v>
      </c>
      <c r="C18" s="4" t="s">
        <v>226</v>
      </c>
      <c r="D18" s="4" t="s">
        <v>227</v>
      </c>
      <c r="E18" s="4" t="s">
        <v>228</v>
      </c>
      <c r="F18" s="4" t="s">
        <v>229</v>
      </c>
    </row>
    <row r="19">
      <c r="A19" s="22">
        <v>10003.0</v>
      </c>
      <c r="B19" s="22">
        <v>1.0</v>
      </c>
      <c r="C19" s="23" t="s">
        <v>230</v>
      </c>
      <c r="D19" s="24" t="s">
        <v>231</v>
      </c>
      <c r="E19" s="22">
        <v>0.0</v>
      </c>
      <c r="F19" s="22">
        <v>10.0</v>
      </c>
      <c r="G19" s="9" t="str">
        <f t="shared" ref="G19:H19" si="3">"[" &amp;E19&amp;","&amp;E20&amp;","&amp;E21&amp;","&amp;E22&amp;","&amp;E23&amp; "]"</f>
        <v>[0,0,0,0,0]</v>
      </c>
      <c r="H19" s="9" t="str">
        <f t="shared" si="3"/>
        <v>[10,16,22,34,50]</v>
      </c>
    </row>
    <row r="20">
      <c r="A20" s="21"/>
      <c r="B20" s="22">
        <v>2.0</v>
      </c>
      <c r="C20" s="23" t="s">
        <v>230</v>
      </c>
      <c r="D20" s="24" t="s">
        <v>231</v>
      </c>
      <c r="E20" s="22">
        <v>0.0</v>
      </c>
      <c r="F20" s="22">
        <v>16.0</v>
      </c>
    </row>
    <row r="21">
      <c r="A21" s="21"/>
      <c r="B21" s="22">
        <v>3.0</v>
      </c>
      <c r="C21" s="23" t="s">
        <v>230</v>
      </c>
      <c r="D21" s="24" t="s">
        <v>231</v>
      </c>
      <c r="E21" s="22">
        <v>0.0</v>
      </c>
      <c r="F21" s="22">
        <v>22.0</v>
      </c>
    </row>
    <row r="22">
      <c r="A22" s="21"/>
      <c r="B22" s="22">
        <v>4.0</v>
      </c>
      <c r="C22" s="23" t="s">
        <v>230</v>
      </c>
      <c r="D22" s="24" t="s">
        <v>231</v>
      </c>
      <c r="E22" s="22">
        <v>0.0</v>
      </c>
      <c r="F22" s="22">
        <v>34.0</v>
      </c>
    </row>
    <row r="23">
      <c r="A23" s="21"/>
      <c r="B23" s="22">
        <v>5.0</v>
      </c>
      <c r="C23" s="23" t="s">
        <v>230</v>
      </c>
      <c r="D23" s="24" t="s">
        <v>231</v>
      </c>
      <c r="E23" s="22">
        <v>0.0</v>
      </c>
      <c r="F23" s="22">
        <v>50.0</v>
      </c>
    </row>
    <row r="24">
      <c r="A24" s="22">
        <f>A19+10000</f>
        <v>20003</v>
      </c>
      <c r="B24" s="22">
        <v>1.0</v>
      </c>
      <c r="C24" s="23" t="s">
        <v>232</v>
      </c>
      <c r="D24" s="24" t="s">
        <v>233</v>
      </c>
      <c r="E24" s="22">
        <v>0.0</v>
      </c>
      <c r="F24" s="22">
        <v>30000.0</v>
      </c>
      <c r="G24" s="9" t="str">
        <f t="shared" ref="G24:H24" si="4">"[" &amp;E24&amp;","&amp;E25&amp;","&amp;E26&amp;","&amp;E27&amp;","&amp;E28&amp; "]"</f>
        <v>[0,0,0,0,0]</v>
      </c>
      <c r="H24" s="9" t="str">
        <f t="shared" si="4"/>
        <v>[30000,50000,70000,100000,150000]</v>
      </c>
    </row>
    <row r="25">
      <c r="A25" s="21"/>
      <c r="B25" s="22">
        <v>2.0</v>
      </c>
      <c r="C25" s="23" t="s">
        <v>232</v>
      </c>
      <c r="D25" s="24" t="s">
        <v>233</v>
      </c>
      <c r="E25" s="22">
        <v>0.0</v>
      </c>
      <c r="F25" s="22">
        <v>50000.0</v>
      </c>
    </row>
    <row r="26">
      <c r="A26" s="21"/>
      <c r="B26" s="22">
        <v>3.0</v>
      </c>
      <c r="C26" s="23" t="s">
        <v>232</v>
      </c>
      <c r="D26" s="24" t="s">
        <v>233</v>
      </c>
      <c r="E26" s="22">
        <v>0.0</v>
      </c>
      <c r="F26" s="22">
        <v>70000.0</v>
      </c>
    </row>
    <row r="27">
      <c r="A27" s="21"/>
      <c r="B27" s="22">
        <v>4.0</v>
      </c>
      <c r="C27" s="23" t="s">
        <v>232</v>
      </c>
      <c r="D27" s="24" t="s">
        <v>233</v>
      </c>
      <c r="E27" s="22">
        <v>0.0</v>
      </c>
      <c r="F27" s="22">
        <v>100000.0</v>
      </c>
    </row>
    <row r="28">
      <c r="A28" s="21"/>
      <c r="B28" s="22">
        <v>5.0</v>
      </c>
      <c r="C28" s="23" t="s">
        <v>232</v>
      </c>
      <c r="D28" s="24" t="s">
        <v>233</v>
      </c>
      <c r="E28" s="22">
        <v>0.0</v>
      </c>
      <c r="F28" s="22">
        <v>150000.0</v>
      </c>
    </row>
    <row r="30">
      <c r="A30" s="10" t="str">
        <f>"# 스킬 idx " &amp;A32&amp; VLOOKUP(A32,SkillData!A$2:E$459,3,FALSE)</f>
        <v># 스킬 idx 1000430004</v>
      </c>
    </row>
    <row r="31">
      <c r="A31" s="4" t="s">
        <v>224</v>
      </c>
      <c r="B31" s="4" t="s">
        <v>225</v>
      </c>
      <c r="C31" s="4" t="s">
        <v>226</v>
      </c>
      <c r="D31" s="4" t="s">
        <v>227</v>
      </c>
      <c r="E31" s="4" t="s">
        <v>228</v>
      </c>
      <c r="F31" s="4" t="s">
        <v>229</v>
      </c>
    </row>
    <row r="32">
      <c r="A32" s="22">
        <v>10004.0</v>
      </c>
      <c r="B32" s="22">
        <v>1.0</v>
      </c>
      <c r="C32" s="23" t="s">
        <v>234</v>
      </c>
      <c r="D32" s="24" t="s">
        <v>235</v>
      </c>
      <c r="E32" s="22">
        <v>30.0</v>
      </c>
      <c r="F32" s="22">
        <v>5.0</v>
      </c>
      <c r="G32" s="9" t="str">
        <f t="shared" ref="G32:H32" si="5">"[" &amp;E32&amp;","&amp;E33&amp;","&amp;E34&amp;","&amp;E35&amp;","&amp;E36&amp; "]"</f>
        <v>[30,35,40,45,50]</v>
      </c>
      <c r="H32" s="9" t="str">
        <f t="shared" si="5"/>
        <v>[5,8,14,20,30]</v>
      </c>
    </row>
    <row r="33">
      <c r="A33" s="21"/>
      <c r="B33" s="22">
        <v>2.0</v>
      </c>
      <c r="C33" s="23" t="s">
        <v>234</v>
      </c>
      <c r="D33" s="24" t="s">
        <v>235</v>
      </c>
      <c r="E33" s="22">
        <v>35.0</v>
      </c>
      <c r="F33" s="22">
        <v>8.0</v>
      </c>
    </row>
    <row r="34">
      <c r="A34" s="21"/>
      <c r="B34" s="22">
        <v>3.0</v>
      </c>
      <c r="C34" s="23" t="s">
        <v>234</v>
      </c>
      <c r="D34" s="24" t="s">
        <v>235</v>
      </c>
      <c r="E34" s="22">
        <v>40.0</v>
      </c>
      <c r="F34" s="22">
        <v>14.0</v>
      </c>
    </row>
    <row r="35">
      <c r="A35" s="21"/>
      <c r="B35" s="22">
        <v>4.0</v>
      </c>
      <c r="C35" s="23" t="s">
        <v>234</v>
      </c>
      <c r="D35" s="24" t="s">
        <v>235</v>
      </c>
      <c r="E35" s="22">
        <v>45.0</v>
      </c>
      <c r="F35" s="22">
        <v>20.0</v>
      </c>
    </row>
    <row r="36">
      <c r="A36" s="21"/>
      <c r="B36" s="22">
        <v>5.0</v>
      </c>
      <c r="C36" s="23" t="s">
        <v>234</v>
      </c>
      <c r="D36" s="24" t="s">
        <v>235</v>
      </c>
      <c r="E36" s="22">
        <v>50.0</v>
      </c>
      <c r="F36" s="22">
        <v>30.0</v>
      </c>
    </row>
    <row r="38">
      <c r="A38" s="10" t="str">
        <f>"# 스킬 idx " &amp;A40&amp; VLOOKUP(A40,SkillData!A$2:E$459,3,FALSE)</f>
        <v># 스킬 idx 1000530005</v>
      </c>
    </row>
    <row r="39">
      <c r="A39" s="4" t="s">
        <v>224</v>
      </c>
      <c r="B39" s="4" t="s">
        <v>225</v>
      </c>
      <c r="C39" s="4" t="s">
        <v>226</v>
      </c>
      <c r="D39" s="4" t="s">
        <v>227</v>
      </c>
      <c r="E39" s="4" t="s">
        <v>228</v>
      </c>
      <c r="F39" s="4" t="s">
        <v>229</v>
      </c>
    </row>
    <row r="40">
      <c r="A40" s="22">
        <v>10005.0</v>
      </c>
      <c r="B40" s="22">
        <v>1.0</v>
      </c>
      <c r="C40" s="23" t="s">
        <v>234</v>
      </c>
      <c r="D40" s="24" t="s">
        <v>235</v>
      </c>
      <c r="E40" s="22">
        <v>50.0</v>
      </c>
      <c r="F40" s="22">
        <v>10.0</v>
      </c>
      <c r="G40" s="9" t="str">
        <f t="shared" ref="G40:H40" si="6">"[" &amp;E40&amp;","&amp;E41&amp;","&amp;E42&amp;","&amp;E43&amp;","&amp;E44&amp; "]"</f>
        <v>[50,55,60,65,70]</v>
      </c>
      <c r="H40" s="9" t="str">
        <f t="shared" si="6"/>
        <v>[10,16,22,34,50]</v>
      </c>
    </row>
    <row r="41">
      <c r="A41" s="21"/>
      <c r="B41" s="22">
        <v>2.0</v>
      </c>
      <c r="C41" s="23" t="s">
        <v>234</v>
      </c>
      <c r="D41" s="24" t="s">
        <v>235</v>
      </c>
      <c r="E41" s="22">
        <v>55.0</v>
      </c>
      <c r="F41" s="22">
        <v>16.0</v>
      </c>
    </row>
    <row r="42">
      <c r="A42" s="21"/>
      <c r="B42" s="22">
        <v>3.0</v>
      </c>
      <c r="C42" s="23" t="s">
        <v>234</v>
      </c>
      <c r="D42" s="24" t="s">
        <v>235</v>
      </c>
      <c r="E42" s="22">
        <v>60.0</v>
      </c>
      <c r="F42" s="22">
        <v>22.0</v>
      </c>
    </row>
    <row r="43">
      <c r="A43" s="21"/>
      <c r="B43" s="22">
        <v>4.0</v>
      </c>
      <c r="C43" s="23" t="s">
        <v>234</v>
      </c>
      <c r="D43" s="24" t="s">
        <v>235</v>
      </c>
      <c r="E43" s="22">
        <v>65.0</v>
      </c>
      <c r="F43" s="22">
        <v>34.0</v>
      </c>
    </row>
    <row r="44">
      <c r="A44" s="21"/>
      <c r="B44" s="22">
        <v>5.0</v>
      </c>
      <c r="C44" s="23" t="s">
        <v>234</v>
      </c>
      <c r="D44" s="24" t="s">
        <v>235</v>
      </c>
      <c r="E44" s="22">
        <v>70.0</v>
      </c>
      <c r="F44" s="22">
        <v>50.0</v>
      </c>
    </row>
    <row r="46">
      <c r="A46" s="10" t="str">
        <f>"# 스킬 idx " &amp;A48&amp; VLOOKUP(A48,SkillData!A$2:E$459,3,FALSE)</f>
        <v># 스킬 idx 1000630006</v>
      </c>
    </row>
    <row r="47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228</v>
      </c>
      <c r="F47" s="4" t="s">
        <v>229</v>
      </c>
    </row>
    <row r="48">
      <c r="A48" s="22">
        <v>10006.0</v>
      </c>
      <c r="B48" s="22">
        <v>1.0</v>
      </c>
      <c r="C48" s="23" t="s">
        <v>234</v>
      </c>
      <c r="D48" s="24" t="s">
        <v>235</v>
      </c>
      <c r="E48" s="22">
        <v>0.0</v>
      </c>
      <c r="F48" s="22">
        <v>10.0</v>
      </c>
      <c r="G48" s="9" t="str">
        <f t="shared" ref="G48:H48" si="7">"[" &amp;E48&amp;","&amp;E49&amp;","&amp;E50&amp;","&amp;E51&amp;","&amp;E52&amp; "]"</f>
        <v>[0,0,0,0,0]</v>
      </c>
      <c r="H48" s="9" t="str">
        <f t="shared" si="7"/>
        <v>[10,16,22,34,50]</v>
      </c>
    </row>
    <row r="49">
      <c r="A49" s="21"/>
      <c r="B49" s="22">
        <v>2.0</v>
      </c>
      <c r="C49" s="23" t="s">
        <v>234</v>
      </c>
      <c r="D49" s="24" t="s">
        <v>235</v>
      </c>
      <c r="E49" s="22">
        <v>0.0</v>
      </c>
      <c r="F49" s="22">
        <v>16.0</v>
      </c>
    </row>
    <row r="50">
      <c r="A50" s="21"/>
      <c r="B50" s="22">
        <v>3.0</v>
      </c>
      <c r="C50" s="23" t="s">
        <v>234</v>
      </c>
      <c r="D50" s="24" t="s">
        <v>235</v>
      </c>
      <c r="E50" s="22">
        <v>0.0</v>
      </c>
      <c r="F50" s="22">
        <v>22.0</v>
      </c>
    </row>
    <row r="51">
      <c r="A51" s="21"/>
      <c r="B51" s="22">
        <v>4.0</v>
      </c>
      <c r="C51" s="23" t="s">
        <v>234</v>
      </c>
      <c r="D51" s="24" t="s">
        <v>235</v>
      </c>
      <c r="E51" s="22">
        <v>0.0</v>
      </c>
      <c r="F51" s="22">
        <v>34.0</v>
      </c>
    </row>
    <row r="52">
      <c r="A52" s="21"/>
      <c r="B52" s="22">
        <v>5.0</v>
      </c>
      <c r="C52" s="23" t="s">
        <v>234</v>
      </c>
      <c r="D52" s="24" t="s">
        <v>235</v>
      </c>
      <c r="E52" s="22">
        <v>0.0</v>
      </c>
      <c r="F52" s="22">
        <v>50.0</v>
      </c>
    </row>
    <row r="53">
      <c r="A53" s="22">
        <f>A48+10000</f>
        <v>20006</v>
      </c>
      <c r="B53" s="22">
        <v>1.0</v>
      </c>
      <c r="C53" s="23" t="s">
        <v>230</v>
      </c>
      <c r="D53" s="24" t="s">
        <v>236</v>
      </c>
      <c r="E53" s="22">
        <v>0.0</v>
      </c>
      <c r="F53" s="22">
        <v>5.0</v>
      </c>
      <c r="G53" s="9" t="str">
        <f t="shared" ref="G53:H53" si="8">"[" &amp;E53&amp;","&amp;E54&amp;","&amp;E55&amp;","&amp;E56&amp;","&amp;E57&amp; "]"</f>
        <v>[0,0,0,0,0]</v>
      </c>
      <c r="H53" s="9" t="str">
        <f t="shared" si="8"/>
        <v>[5,8,11,18,25]</v>
      </c>
    </row>
    <row r="54">
      <c r="A54" s="21"/>
      <c r="B54" s="22">
        <v>2.0</v>
      </c>
      <c r="C54" s="23" t="s">
        <v>230</v>
      </c>
      <c r="D54" s="24" t="s">
        <v>236</v>
      </c>
      <c r="E54" s="22">
        <v>0.0</v>
      </c>
      <c r="F54" s="22">
        <v>8.0</v>
      </c>
    </row>
    <row r="55">
      <c r="A55" s="21"/>
      <c r="B55" s="22">
        <v>3.0</v>
      </c>
      <c r="C55" s="23" t="s">
        <v>230</v>
      </c>
      <c r="D55" s="24" t="s">
        <v>236</v>
      </c>
      <c r="E55" s="22">
        <v>0.0</v>
      </c>
      <c r="F55" s="22">
        <v>11.0</v>
      </c>
    </row>
    <row r="56">
      <c r="A56" s="21"/>
      <c r="B56" s="22">
        <v>4.0</v>
      </c>
      <c r="C56" s="23" t="s">
        <v>230</v>
      </c>
      <c r="D56" s="24" t="s">
        <v>236</v>
      </c>
      <c r="E56" s="22">
        <v>0.0</v>
      </c>
      <c r="F56" s="22">
        <v>18.0</v>
      </c>
    </row>
    <row r="57">
      <c r="A57" s="21"/>
      <c r="B57" s="22">
        <v>5.0</v>
      </c>
      <c r="C57" s="23" t="s">
        <v>230</v>
      </c>
      <c r="D57" s="24" t="s">
        <v>236</v>
      </c>
      <c r="E57" s="22">
        <v>0.0</v>
      </c>
      <c r="F57" s="22">
        <v>25.0</v>
      </c>
    </row>
    <row r="59">
      <c r="A59" s="10" t="str">
        <f>"# 스킬 idx " &amp;A61&amp; VLOOKUP(A61,SkillData!A$2:E$459,3,FALSE)</f>
        <v># 스킬 idx 1000730007</v>
      </c>
    </row>
    <row r="60">
      <c r="A60" s="4" t="s">
        <v>224</v>
      </c>
      <c r="B60" s="4" t="s">
        <v>225</v>
      </c>
      <c r="C60" s="4" t="s">
        <v>226</v>
      </c>
      <c r="D60" s="4" t="s">
        <v>227</v>
      </c>
      <c r="E60" s="4" t="s">
        <v>228</v>
      </c>
      <c r="F60" s="4" t="s">
        <v>229</v>
      </c>
    </row>
    <row r="61">
      <c r="A61" s="22">
        <v>10007.0</v>
      </c>
      <c r="B61" s="22">
        <v>1.0</v>
      </c>
      <c r="C61" s="23" t="s">
        <v>237</v>
      </c>
      <c r="D61" s="24" t="s">
        <v>238</v>
      </c>
      <c r="E61" s="22">
        <v>30.0</v>
      </c>
      <c r="F61" s="22">
        <v>5.0</v>
      </c>
      <c r="G61" s="9" t="str">
        <f t="shared" ref="G61:H61" si="9">"[" &amp;E61&amp;","&amp;E62&amp;","&amp;E63&amp;","&amp;E64&amp;","&amp;E65&amp; "]"</f>
        <v>[30,35,40,45,50]</v>
      </c>
      <c r="H61" s="9" t="str">
        <f t="shared" si="9"/>
        <v>[5,8,14,20,30]</v>
      </c>
    </row>
    <row r="62">
      <c r="A62" s="21"/>
      <c r="B62" s="22">
        <v>2.0</v>
      </c>
      <c r="C62" s="23" t="s">
        <v>237</v>
      </c>
      <c r="D62" s="24" t="s">
        <v>238</v>
      </c>
      <c r="E62" s="22">
        <v>35.0</v>
      </c>
      <c r="F62" s="22">
        <v>8.0</v>
      </c>
    </row>
    <row r="63">
      <c r="A63" s="21"/>
      <c r="B63" s="22">
        <v>3.0</v>
      </c>
      <c r="C63" s="23" t="s">
        <v>237</v>
      </c>
      <c r="D63" s="24" t="s">
        <v>238</v>
      </c>
      <c r="E63" s="22">
        <v>40.0</v>
      </c>
      <c r="F63" s="22">
        <v>14.0</v>
      </c>
    </row>
    <row r="64">
      <c r="A64" s="21"/>
      <c r="B64" s="22">
        <v>4.0</v>
      </c>
      <c r="C64" s="23" t="s">
        <v>237</v>
      </c>
      <c r="D64" s="24" t="s">
        <v>238</v>
      </c>
      <c r="E64" s="22">
        <v>45.0</v>
      </c>
      <c r="F64" s="22">
        <v>20.0</v>
      </c>
    </row>
    <row r="65">
      <c r="A65" s="21"/>
      <c r="B65" s="22">
        <v>5.0</v>
      </c>
      <c r="C65" s="23" t="s">
        <v>237</v>
      </c>
      <c r="D65" s="24" t="s">
        <v>238</v>
      </c>
      <c r="E65" s="22">
        <v>50.0</v>
      </c>
      <c r="F65" s="22">
        <v>30.0</v>
      </c>
    </row>
    <row r="67">
      <c r="A67" s="10" t="str">
        <f>"# 스킬 idx " &amp;A69&amp; VLOOKUP(A69,SkillData!A$2:E$459,3,FALSE)</f>
        <v># 스킬 idx 1000830008</v>
      </c>
    </row>
    <row r="68">
      <c r="A68" s="4" t="s">
        <v>224</v>
      </c>
      <c r="B68" s="4" t="s">
        <v>225</v>
      </c>
      <c r="C68" s="4" t="s">
        <v>226</v>
      </c>
      <c r="D68" s="4" t="s">
        <v>227</v>
      </c>
      <c r="E68" s="4" t="s">
        <v>228</v>
      </c>
      <c r="F68" s="4" t="s">
        <v>229</v>
      </c>
    </row>
    <row r="69">
      <c r="A69" s="22">
        <v>10008.0</v>
      </c>
      <c r="B69" s="22">
        <v>1.0</v>
      </c>
      <c r="C69" s="23" t="s">
        <v>237</v>
      </c>
      <c r="D69" s="24" t="s">
        <v>238</v>
      </c>
      <c r="E69" s="22">
        <v>50.0</v>
      </c>
      <c r="F69" s="22">
        <v>10.0</v>
      </c>
      <c r="G69" s="9" t="str">
        <f t="shared" ref="G69:H69" si="10">"[" &amp;E69&amp;","&amp;E70&amp;","&amp;E71&amp;","&amp;E72&amp;","&amp;E73&amp; "]"</f>
        <v>[50,55,60,65,70]</v>
      </c>
      <c r="H69" s="9" t="str">
        <f t="shared" si="10"/>
        <v>[10,16,22,34,50]</v>
      </c>
    </row>
    <row r="70">
      <c r="A70" s="21"/>
      <c r="B70" s="22">
        <v>2.0</v>
      </c>
      <c r="C70" s="23" t="s">
        <v>237</v>
      </c>
      <c r="D70" s="24" t="s">
        <v>238</v>
      </c>
      <c r="E70" s="22">
        <v>55.0</v>
      </c>
      <c r="F70" s="22">
        <v>16.0</v>
      </c>
    </row>
    <row r="71">
      <c r="A71" s="21"/>
      <c r="B71" s="22">
        <v>3.0</v>
      </c>
      <c r="C71" s="23" t="s">
        <v>237</v>
      </c>
      <c r="D71" s="24" t="s">
        <v>238</v>
      </c>
      <c r="E71" s="22">
        <v>60.0</v>
      </c>
      <c r="F71" s="22">
        <v>22.0</v>
      </c>
    </row>
    <row r="72">
      <c r="A72" s="21"/>
      <c r="B72" s="22">
        <v>4.0</v>
      </c>
      <c r="C72" s="23" t="s">
        <v>237</v>
      </c>
      <c r="D72" s="24" t="s">
        <v>238</v>
      </c>
      <c r="E72" s="22">
        <v>65.0</v>
      </c>
      <c r="F72" s="22">
        <v>34.0</v>
      </c>
    </row>
    <row r="73">
      <c r="A73" s="21"/>
      <c r="B73" s="22">
        <v>5.0</v>
      </c>
      <c r="C73" s="23" t="s">
        <v>237</v>
      </c>
      <c r="D73" s="24" t="s">
        <v>238</v>
      </c>
      <c r="E73" s="22">
        <v>70.0</v>
      </c>
      <c r="F73" s="22">
        <v>50.0</v>
      </c>
    </row>
    <row r="75">
      <c r="A75" s="10" t="str">
        <f>"# 스킬 idx " &amp;A77&amp; VLOOKUP(A77,SkillData!A$2:E$459,3,FALSE)</f>
        <v># 스킬 idx 1000930009</v>
      </c>
    </row>
    <row r="76">
      <c r="A76" s="4" t="s">
        <v>224</v>
      </c>
      <c r="B76" s="4" t="s">
        <v>225</v>
      </c>
      <c r="C76" s="4" t="s">
        <v>226</v>
      </c>
      <c r="D76" s="4" t="s">
        <v>227</v>
      </c>
      <c r="E76" s="4" t="s">
        <v>228</v>
      </c>
      <c r="F76" s="4" t="s">
        <v>229</v>
      </c>
    </row>
    <row r="77">
      <c r="A77" s="22">
        <v>10009.0</v>
      </c>
      <c r="B77" s="22">
        <v>1.0</v>
      </c>
      <c r="C77" s="23" t="s">
        <v>237</v>
      </c>
      <c r="D77" s="24" t="s">
        <v>238</v>
      </c>
      <c r="E77" s="22">
        <v>0.0</v>
      </c>
      <c r="F77" s="22">
        <v>10.0</v>
      </c>
      <c r="G77" s="9" t="str">
        <f t="shared" ref="G77:H77" si="11">"[" &amp;E77&amp;","&amp;E78&amp;","&amp;E79&amp;","&amp;E80&amp;","&amp;E81&amp; "]"</f>
        <v>[0,0,0,0,0]</v>
      </c>
      <c r="H77" s="9" t="str">
        <f t="shared" si="11"/>
        <v>[10,16,22,34,50]</v>
      </c>
    </row>
    <row r="78">
      <c r="A78" s="21"/>
      <c r="B78" s="22">
        <v>2.0</v>
      </c>
      <c r="C78" s="23" t="s">
        <v>237</v>
      </c>
      <c r="D78" s="24" t="s">
        <v>235</v>
      </c>
      <c r="E78" s="22">
        <v>0.0</v>
      </c>
      <c r="F78" s="22">
        <v>16.0</v>
      </c>
    </row>
    <row r="79">
      <c r="A79" s="21"/>
      <c r="B79" s="22">
        <v>3.0</v>
      </c>
      <c r="C79" s="23" t="s">
        <v>237</v>
      </c>
      <c r="D79" s="24" t="s">
        <v>235</v>
      </c>
      <c r="E79" s="22">
        <v>0.0</v>
      </c>
      <c r="F79" s="22">
        <v>22.0</v>
      </c>
    </row>
    <row r="80">
      <c r="A80" s="21"/>
      <c r="B80" s="22">
        <v>4.0</v>
      </c>
      <c r="C80" s="23" t="s">
        <v>237</v>
      </c>
      <c r="D80" s="24" t="s">
        <v>235</v>
      </c>
      <c r="E80" s="22">
        <v>0.0</v>
      </c>
      <c r="F80" s="22">
        <v>34.0</v>
      </c>
    </row>
    <row r="81">
      <c r="A81" s="21"/>
      <c r="B81" s="22">
        <v>5.0</v>
      </c>
      <c r="C81" s="23" t="s">
        <v>237</v>
      </c>
      <c r="D81" s="24" t="s">
        <v>235</v>
      </c>
      <c r="E81" s="22">
        <v>0.0</v>
      </c>
      <c r="F81" s="22">
        <v>50.0</v>
      </c>
    </row>
    <row r="82">
      <c r="A82" s="22">
        <f>A77+10000</f>
        <v>20009</v>
      </c>
      <c r="B82" s="22">
        <v>1.0</v>
      </c>
      <c r="C82" s="23" t="s">
        <v>230</v>
      </c>
      <c r="D82" s="24" t="s">
        <v>236</v>
      </c>
      <c r="E82" s="22">
        <v>0.0</v>
      </c>
      <c r="F82" s="22">
        <v>5.0</v>
      </c>
      <c r="G82" s="9" t="str">
        <f t="shared" ref="G82:H82" si="12">"[" &amp;E82&amp;","&amp;E83&amp;","&amp;E84&amp;","&amp;E85&amp;","&amp;E86&amp; "]"</f>
        <v>[0,0,0,0,0]</v>
      </c>
      <c r="H82" s="9" t="str">
        <f t="shared" si="12"/>
        <v>[5,8,11,18,25]</v>
      </c>
    </row>
    <row r="83">
      <c r="A83" s="21"/>
      <c r="B83" s="22">
        <v>2.0</v>
      </c>
      <c r="C83" s="23" t="s">
        <v>230</v>
      </c>
      <c r="D83" s="24" t="s">
        <v>236</v>
      </c>
      <c r="E83" s="22">
        <v>0.0</v>
      </c>
      <c r="F83" s="22">
        <v>8.0</v>
      </c>
    </row>
    <row r="84">
      <c r="A84" s="21"/>
      <c r="B84" s="22">
        <v>3.0</v>
      </c>
      <c r="C84" s="23" t="s">
        <v>230</v>
      </c>
      <c r="D84" s="24" t="s">
        <v>236</v>
      </c>
      <c r="E84" s="22">
        <v>0.0</v>
      </c>
      <c r="F84" s="22">
        <v>11.0</v>
      </c>
    </row>
    <row r="85">
      <c r="A85" s="21"/>
      <c r="B85" s="22">
        <v>4.0</v>
      </c>
      <c r="C85" s="23" t="s">
        <v>230</v>
      </c>
      <c r="D85" s="24" t="s">
        <v>236</v>
      </c>
      <c r="E85" s="22">
        <v>0.0</v>
      </c>
      <c r="F85" s="22">
        <v>18.0</v>
      </c>
    </row>
    <row r="86">
      <c r="A86" s="21"/>
      <c r="B86" s="22">
        <v>5.0</v>
      </c>
      <c r="C86" s="23" t="s">
        <v>230</v>
      </c>
      <c r="D86" s="24" t="s">
        <v>236</v>
      </c>
      <c r="E86" s="22">
        <v>0.0</v>
      </c>
      <c r="F86" s="22">
        <v>25.0</v>
      </c>
    </row>
    <row r="88">
      <c r="A88" s="10" t="str">
        <f>"# 스킬 idx " &amp;A90&amp; VLOOKUP(A90,SkillData!A$2:E$459,3,FALSE)</f>
        <v># 스킬 idx 1001030010</v>
      </c>
    </row>
    <row r="89">
      <c r="A89" s="4" t="s">
        <v>224</v>
      </c>
      <c r="B89" s="4" t="s">
        <v>225</v>
      </c>
      <c r="C89" s="4" t="s">
        <v>226</v>
      </c>
      <c r="D89" s="4" t="s">
        <v>227</v>
      </c>
      <c r="E89" s="4" t="s">
        <v>228</v>
      </c>
      <c r="F89" s="4" t="s">
        <v>229</v>
      </c>
    </row>
    <row r="90">
      <c r="A90" s="22">
        <v>10010.0</v>
      </c>
      <c r="B90" s="22">
        <v>1.0</v>
      </c>
      <c r="C90" s="23" t="s">
        <v>234</v>
      </c>
      <c r="D90" s="24" t="s">
        <v>239</v>
      </c>
      <c r="E90" s="22">
        <v>0.0</v>
      </c>
      <c r="F90" s="22">
        <v>5.0</v>
      </c>
      <c r="G90" s="9" t="str">
        <f t="shared" ref="G90:H90" si="13">"[" &amp;E90&amp;","&amp;E91&amp;","&amp;E92&amp;","&amp;E93&amp;","&amp;E94&amp; "]"</f>
        <v>[0,0,0,0,0]</v>
      </c>
      <c r="H90" s="9" t="str">
        <f t="shared" si="13"/>
        <v>[5,8,14,20,30]</v>
      </c>
    </row>
    <row r="91">
      <c r="A91" s="21"/>
      <c r="B91" s="22">
        <v>2.0</v>
      </c>
      <c r="C91" s="23" t="s">
        <v>234</v>
      </c>
      <c r="D91" s="24" t="s">
        <v>239</v>
      </c>
      <c r="E91" s="22">
        <v>0.0</v>
      </c>
      <c r="F91" s="22">
        <v>8.0</v>
      </c>
    </row>
    <row r="92">
      <c r="A92" s="21"/>
      <c r="B92" s="22">
        <v>3.0</v>
      </c>
      <c r="C92" s="23" t="s">
        <v>234</v>
      </c>
      <c r="D92" s="24" t="s">
        <v>239</v>
      </c>
      <c r="E92" s="22">
        <v>0.0</v>
      </c>
      <c r="F92" s="22">
        <v>14.0</v>
      </c>
    </row>
    <row r="93">
      <c r="A93" s="21"/>
      <c r="B93" s="22">
        <v>4.0</v>
      </c>
      <c r="C93" s="23" t="s">
        <v>234</v>
      </c>
      <c r="D93" s="24" t="s">
        <v>239</v>
      </c>
      <c r="E93" s="22">
        <v>0.0</v>
      </c>
      <c r="F93" s="22">
        <v>20.0</v>
      </c>
    </row>
    <row r="94">
      <c r="A94" s="21"/>
      <c r="B94" s="22">
        <v>5.0</v>
      </c>
      <c r="C94" s="23" t="s">
        <v>234</v>
      </c>
      <c r="D94" s="24" t="s">
        <v>239</v>
      </c>
      <c r="E94" s="22">
        <v>0.0</v>
      </c>
      <c r="F94" s="22">
        <v>30.0</v>
      </c>
    </row>
    <row r="96">
      <c r="A96" s="10" t="str">
        <f>"# 스킬 idx " &amp;A98&amp; VLOOKUP(A98,SkillData!A$2:E$459,3,FALSE)</f>
        <v># 스킬 idx 1001130011</v>
      </c>
    </row>
    <row r="97">
      <c r="A97" s="4" t="s">
        <v>224</v>
      </c>
      <c r="B97" s="4" t="s">
        <v>225</v>
      </c>
      <c r="C97" s="4" t="s">
        <v>226</v>
      </c>
      <c r="D97" s="4" t="s">
        <v>227</v>
      </c>
      <c r="E97" s="4" t="s">
        <v>228</v>
      </c>
      <c r="F97" s="4" t="s">
        <v>229</v>
      </c>
    </row>
    <row r="98">
      <c r="A98" s="22">
        <v>10011.0</v>
      </c>
      <c r="B98" s="22">
        <v>1.0</v>
      </c>
      <c r="C98" s="23" t="s">
        <v>237</v>
      </c>
      <c r="D98" s="24" t="s">
        <v>239</v>
      </c>
      <c r="E98" s="22">
        <v>0.0</v>
      </c>
      <c r="F98" s="22">
        <v>10.0</v>
      </c>
      <c r="G98" s="9" t="str">
        <f t="shared" ref="G98:H98" si="14">"[" &amp;E98&amp;","&amp;E99&amp;","&amp;E100&amp;","&amp;E101&amp;","&amp;E102&amp; "]"</f>
        <v>[0,0,0,0,0]</v>
      </c>
      <c r="H98" s="9" t="str">
        <f t="shared" si="14"/>
        <v>[10,16,22,34,50]</v>
      </c>
    </row>
    <row r="99">
      <c r="A99" s="21"/>
      <c r="B99" s="22">
        <v>2.0</v>
      </c>
      <c r="C99" s="23" t="s">
        <v>237</v>
      </c>
      <c r="D99" s="24" t="s">
        <v>239</v>
      </c>
      <c r="E99" s="22">
        <v>0.0</v>
      </c>
      <c r="F99" s="22">
        <v>16.0</v>
      </c>
    </row>
    <row r="100">
      <c r="A100" s="21"/>
      <c r="B100" s="22">
        <v>3.0</v>
      </c>
      <c r="C100" s="23" t="s">
        <v>237</v>
      </c>
      <c r="D100" s="24" t="s">
        <v>239</v>
      </c>
      <c r="E100" s="22">
        <v>0.0</v>
      </c>
      <c r="F100" s="22">
        <v>22.0</v>
      </c>
    </row>
    <row r="101">
      <c r="A101" s="21"/>
      <c r="B101" s="22">
        <v>4.0</v>
      </c>
      <c r="C101" s="23" t="s">
        <v>237</v>
      </c>
      <c r="D101" s="24" t="s">
        <v>239</v>
      </c>
      <c r="E101" s="22">
        <v>0.0</v>
      </c>
      <c r="F101" s="22">
        <v>34.0</v>
      </c>
    </row>
    <row r="102">
      <c r="A102" s="21"/>
      <c r="B102" s="22">
        <v>5.0</v>
      </c>
      <c r="C102" s="23" t="s">
        <v>237</v>
      </c>
      <c r="D102" s="24" t="s">
        <v>239</v>
      </c>
      <c r="E102" s="22">
        <v>0.0</v>
      </c>
      <c r="F102" s="22">
        <v>50.0</v>
      </c>
    </row>
    <row r="104">
      <c r="A104" s="10" t="str">
        <f>"# 스킬 idx " &amp;A106&amp; VLOOKUP(A106,SkillData!A$2:E$459,3,FALSE)</f>
        <v># 스킬 idx 1001230012</v>
      </c>
    </row>
    <row r="105">
      <c r="A105" s="4" t="s">
        <v>224</v>
      </c>
      <c r="B105" s="4" t="s">
        <v>225</v>
      </c>
      <c r="C105" s="4" t="s">
        <v>226</v>
      </c>
      <c r="D105" s="4" t="s">
        <v>227</v>
      </c>
      <c r="E105" s="4" t="s">
        <v>228</v>
      </c>
      <c r="F105" s="4" t="s">
        <v>229</v>
      </c>
    </row>
    <row r="106">
      <c r="A106" s="22">
        <v>10012.0</v>
      </c>
      <c r="B106" s="22">
        <v>1.0</v>
      </c>
      <c r="C106" s="23" t="s">
        <v>237</v>
      </c>
      <c r="D106" s="24" t="s">
        <v>240</v>
      </c>
      <c r="E106" s="22">
        <v>30.0</v>
      </c>
      <c r="F106" s="22">
        <v>5.0</v>
      </c>
      <c r="G106" s="9" t="str">
        <f t="shared" ref="G106:H106" si="15">"[" &amp;E106&amp;","&amp;E107&amp;","&amp;E108&amp;","&amp;E109&amp;","&amp;E110&amp; "]"</f>
        <v>[30,35,40,45,50]</v>
      </c>
      <c r="H106" s="9" t="str">
        <f t="shared" si="15"/>
        <v>[5,8,14,20,30]</v>
      </c>
    </row>
    <row r="107">
      <c r="A107" s="21"/>
      <c r="B107" s="22">
        <v>2.0</v>
      </c>
      <c r="C107" s="23" t="s">
        <v>237</v>
      </c>
      <c r="D107" s="24" t="s">
        <v>240</v>
      </c>
      <c r="E107" s="22">
        <v>35.0</v>
      </c>
      <c r="F107" s="22">
        <v>8.0</v>
      </c>
    </row>
    <row r="108">
      <c r="A108" s="21"/>
      <c r="B108" s="22">
        <v>3.0</v>
      </c>
      <c r="C108" s="23" t="s">
        <v>237</v>
      </c>
      <c r="D108" s="24" t="s">
        <v>240</v>
      </c>
      <c r="E108" s="22">
        <v>40.0</v>
      </c>
      <c r="F108" s="22">
        <v>14.0</v>
      </c>
    </row>
    <row r="109">
      <c r="A109" s="21"/>
      <c r="B109" s="22">
        <v>4.0</v>
      </c>
      <c r="C109" s="23" t="s">
        <v>237</v>
      </c>
      <c r="D109" s="24" t="s">
        <v>240</v>
      </c>
      <c r="E109" s="22">
        <v>45.0</v>
      </c>
      <c r="F109" s="22">
        <v>20.0</v>
      </c>
    </row>
    <row r="110">
      <c r="A110" s="21"/>
      <c r="B110" s="22">
        <v>5.0</v>
      </c>
      <c r="C110" s="23" t="s">
        <v>237</v>
      </c>
      <c r="D110" s="24" t="s">
        <v>240</v>
      </c>
      <c r="E110" s="22">
        <v>50.0</v>
      </c>
      <c r="F110" s="22">
        <v>30.0</v>
      </c>
    </row>
    <row r="112">
      <c r="A112" s="10" t="str">
        <f>"# 스킬 idx " &amp;A114&amp; VLOOKUP(A114,SkillData!A$2:E$459,3,FALSE)</f>
        <v># 스킬 idx 1001330013</v>
      </c>
    </row>
    <row r="113">
      <c r="A113" s="4" t="s">
        <v>224</v>
      </c>
      <c r="B113" s="4" t="s">
        <v>225</v>
      </c>
      <c r="C113" s="4" t="s">
        <v>226</v>
      </c>
      <c r="D113" s="4" t="s">
        <v>227</v>
      </c>
      <c r="E113" s="4" t="s">
        <v>228</v>
      </c>
      <c r="F113" s="4" t="s">
        <v>229</v>
      </c>
    </row>
    <row r="114">
      <c r="A114" s="22">
        <v>10013.0</v>
      </c>
      <c r="B114" s="22">
        <v>1.0</v>
      </c>
      <c r="C114" s="23" t="s">
        <v>237</v>
      </c>
      <c r="D114" s="24" t="s">
        <v>240</v>
      </c>
      <c r="E114" s="22">
        <v>50.0</v>
      </c>
      <c r="F114" s="22">
        <v>10.0</v>
      </c>
      <c r="G114" s="9" t="str">
        <f t="shared" ref="G114:H114" si="16">"[" &amp;E114&amp;","&amp;E115&amp;","&amp;E116&amp;","&amp;E117&amp;","&amp;E118&amp; "]"</f>
        <v>[50,55,60,65,70]</v>
      </c>
      <c r="H114" s="9" t="str">
        <f t="shared" si="16"/>
        <v>[10,16,22,34,50]</v>
      </c>
    </row>
    <row r="115">
      <c r="A115" s="21"/>
      <c r="B115" s="22">
        <v>2.0</v>
      </c>
      <c r="C115" s="23" t="s">
        <v>237</v>
      </c>
      <c r="D115" s="24" t="s">
        <v>240</v>
      </c>
      <c r="E115" s="22">
        <v>55.0</v>
      </c>
      <c r="F115" s="22">
        <v>16.0</v>
      </c>
    </row>
    <row r="116">
      <c r="A116" s="21"/>
      <c r="B116" s="22">
        <v>3.0</v>
      </c>
      <c r="C116" s="23" t="s">
        <v>237</v>
      </c>
      <c r="D116" s="24" t="s">
        <v>240</v>
      </c>
      <c r="E116" s="22">
        <v>60.0</v>
      </c>
      <c r="F116" s="22">
        <v>22.0</v>
      </c>
    </row>
    <row r="117">
      <c r="A117" s="21"/>
      <c r="B117" s="22">
        <v>4.0</v>
      </c>
      <c r="C117" s="23" t="s">
        <v>237</v>
      </c>
      <c r="D117" s="24" t="s">
        <v>240</v>
      </c>
      <c r="E117" s="22">
        <v>65.0</v>
      </c>
      <c r="F117" s="22">
        <v>34.0</v>
      </c>
    </row>
    <row r="118">
      <c r="A118" s="21"/>
      <c r="B118" s="22">
        <v>5.0</v>
      </c>
      <c r="C118" s="23" t="s">
        <v>237</v>
      </c>
      <c r="D118" s="24" t="s">
        <v>240</v>
      </c>
      <c r="E118" s="22">
        <v>70.0</v>
      </c>
      <c r="F118" s="22">
        <v>50.0</v>
      </c>
    </row>
    <row r="120">
      <c r="A120" s="10" t="str">
        <f>"# 스킬 idx " &amp;A122&amp; VLOOKUP(A122,SkillData!A$2:E$459,3,FALSE)</f>
        <v># 스킬 idx 1001430014</v>
      </c>
    </row>
    <row r="121">
      <c r="A121" s="4" t="s">
        <v>224</v>
      </c>
      <c r="B121" s="4" t="s">
        <v>225</v>
      </c>
      <c r="C121" s="4" t="s">
        <v>226</v>
      </c>
      <c r="D121" s="4" t="s">
        <v>227</v>
      </c>
      <c r="E121" s="4" t="s">
        <v>228</v>
      </c>
      <c r="F121" s="4" t="s">
        <v>229</v>
      </c>
    </row>
    <row r="122">
      <c r="A122" s="22">
        <v>10014.0</v>
      </c>
      <c r="B122" s="22">
        <v>1.0</v>
      </c>
      <c r="C122" s="23" t="s">
        <v>237</v>
      </c>
      <c r="D122" s="24" t="s">
        <v>240</v>
      </c>
      <c r="E122" s="22">
        <v>0.0</v>
      </c>
      <c r="F122" s="22">
        <v>10.0</v>
      </c>
      <c r="G122" s="9" t="str">
        <f t="shared" ref="G122:H122" si="17">"[" &amp;E122&amp;","&amp;E123&amp;","&amp;E124&amp;","&amp;E125&amp;","&amp;E126&amp; "]"</f>
        <v>[0,0,0,0,0]</v>
      </c>
      <c r="H122" s="9" t="str">
        <f t="shared" si="17"/>
        <v>[10,16,22,34,50]</v>
      </c>
    </row>
    <row r="123">
      <c r="A123" s="21"/>
      <c r="B123" s="22">
        <v>2.0</v>
      </c>
      <c r="C123" s="23" t="s">
        <v>237</v>
      </c>
      <c r="D123" s="24" t="s">
        <v>240</v>
      </c>
      <c r="E123" s="22">
        <v>0.0</v>
      </c>
      <c r="F123" s="22">
        <v>16.0</v>
      </c>
    </row>
    <row r="124">
      <c r="A124" s="21"/>
      <c r="B124" s="22">
        <v>3.0</v>
      </c>
      <c r="C124" s="23" t="s">
        <v>237</v>
      </c>
      <c r="D124" s="24" t="s">
        <v>240</v>
      </c>
      <c r="E124" s="22">
        <v>0.0</v>
      </c>
      <c r="F124" s="22">
        <v>22.0</v>
      </c>
    </row>
    <row r="125">
      <c r="A125" s="21"/>
      <c r="B125" s="22">
        <v>4.0</v>
      </c>
      <c r="C125" s="23" t="s">
        <v>237</v>
      </c>
      <c r="D125" s="24" t="s">
        <v>240</v>
      </c>
      <c r="E125" s="22">
        <v>0.0</v>
      </c>
      <c r="F125" s="22">
        <v>34.0</v>
      </c>
    </row>
    <row r="126">
      <c r="A126" s="21"/>
      <c r="B126" s="22">
        <v>5.0</v>
      </c>
      <c r="C126" s="23" t="s">
        <v>237</v>
      </c>
      <c r="D126" s="24" t="s">
        <v>240</v>
      </c>
      <c r="E126" s="22">
        <v>0.0</v>
      </c>
      <c r="F126" s="22">
        <v>50.0</v>
      </c>
    </row>
    <row r="127">
      <c r="A127" s="22">
        <f>A122+10000</f>
        <v>20014</v>
      </c>
      <c r="B127" s="22">
        <v>1.0</v>
      </c>
      <c r="C127" s="23" t="s">
        <v>234</v>
      </c>
      <c r="D127" s="24" t="s">
        <v>236</v>
      </c>
      <c r="E127" s="22">
        <v>0.0</v>
      </c>
      <c r="F127" s="22">
        <v>5.0</v>
      </c>
      <c r="G127" s="9" t="str">
        <f t="shared" ref="G127:H127" si="18">"[" &amp;E127&amp;","&amp;E128&amp;","&amp;E129&amp;","&amp;E130&amp;","&amp;E131&amp; "]"</f>
        <v>[0,0,0,0,0]</v>
      </c>
      <c r="H127" s="9" t="str">
        <f t="shared" si="18"/>
        <v>[5,8,11,18,25]</v>
      </c>
    </row>
    <row r="128">
      <c r="A128" s="21"/>
      <c r="B128" s="22">
        <v>2.0</v>
      </c>
      <c r="C128" s="23" t="s">
        <v>234</v>
      </c>
      <c r="D128" s="24" t="s">
        <v>236</v>
      </c>
      <c r="E128" s="22">
        <v>0.0</v>
      </c>
      <c r="F128" s="22">
        <v>8.0</v>
      </c>
    </row>
    <row r="129">
      <c r="A129" s="21"/>
      <c r="B129" s="22">
        <v>3.0</v>
      </c>
      <c r="C129" s="23" t="s">
        <v>234</v>
      </c>
      <c r="D129" s="24" t="s">
        <v>236</v>
      </c>
      <c r="E129" s="22">
        <v>0.0</v>
      </c>
      <c r="F129" s="22">
        <v>11.0</v>
      </c>
    </row>
    <row r="130" ht="15.75" customHeight="1">
      <c r="A130" s="21"/>
      <c r="B130" s="22">
        <v>4.0</v>
      </c>
      <c r="C130" s="23" t="s">
        <v>234</v>
      </c>
      <c r="D130" s="24" t="s">
        <v>236</v>
      </c>
      <c r="E130" s="22">
        <v>0.0</v>
      </c>
      <c r="F130" s="22">
        <v>18.0</v>
      </c>
    </row>
    <row r="131">
      <c r="A131" s="21"/>
      <c r="B131" s="22">
        <v>5.0</v>
      </c>
      <c r="C131" s="23" t="s">
        <v>234</v>
      </c>
      <c r="D131" s="24" t="s">
        <v>236</v>
      </c>
      <c r="E131" s="22">
        <v>0.0</v>
      </c>
      <c r="F131" s="22">
        <v>25.0</v>
      </c>
    </row>
    <row r="133">
      <c r="A133" s="10" t="str">
        <f>"# 스킬 idx " &amp;A135&amp; VLOOKUP(A135,SkillData!A$2:E$459,3,FALSE)</f>
        <v># 스킬 idx 1001530015</v>
      </c>
    </row>
    <row r="134">
      <c r="A134" s="4" t="s">
        <v>224</v>
      </c>
      <c r="B134" s="4" t="s">
        <v>225</v>
      </c>
      <c r="C134" s="4" t="s">
        <v>226</v>
      </c>
      <c r="D134" s="4" t="s">
        <v>227</v>
      </c>
      <c r="E134" s="4" t="s">
        <v>228</v>
      </c>
      <c r="F134" s="4" t="s">
        <v>229</v>
      </c>
    </row>
    <row r="135">
      <c r="A135" s="22">
        <v>10015.0</v>
      </c>
      <c r="B135" s="22">
        <v>1.0</v>
      </c>
      <c r="C135" s="23" t="s">
        <v>232</v>
      </c>
      <c r="D135" s="24" t="s">
        <v>241</v>
      </c>
      <c r="E135" s="22">
        <v>0.0</v>
      </c>
      <c r="F135" s="22">
        <v>30000.0</v>
      </c>
      <c r="G135" s="9" t="str">
        <f t="shared" ref="G135:H135" si="19">"[" &amp;E135&amp;","&amp;E136&amp;","&amp;E137&amp;","&amp;E138&amp;","&amp;E139&amp; "]"</f>
        <v>[0,0,0,0,0]</v>
      </c>
      <c r="H135" s="9" t="str">
        <f t="shared" si="19"/>
        <v>[30000,50000,70000,100000,150000]</v>
      </c>
    </row>
    <row r="136">
      <c r="A136" s="21"/>
      <c r="B136" s="22">
        <v>2.0</v>
      </c>
      <c r="C136" s="23" t="s">
        <v>232</v>
      </c>
      <c r="D136" s="24" t="s">
        <v>241</v>
      </c>
      <c r="E136" s="22">
        <v>0.0</v>
      </c>
      <c r="F136" s="22">
        <v>50000.0</v>
      </c>
    </row>
    <row r="137">
      <c r="A137" s="21"/>
      <c r="B137" s="22">
        <v>3.0</v>
      </c>
      <c r="C137" s="23" t="s">
        <v>232</v>
      </c>
      <c r="D137" s="24" t="s">
        <v>241</v>
      </c>
      <c r="E137" s="22">
        <v>0.0</v>
      </c>
      <c r="F137" s="22">
        <v>70000.0</v>
      </c>
    </row>
    <row r="138">
      <c r="A138" s="21"/>
      <c r="B138" s="22">
        <v>4.0</v>
      </c>
      <c r="C138" s="23" t="s">
        <v>232</v>
      </c>
      <c r="D138" s="24" t="s">
        <v>241</v>
      </c>
      <c r="E138" s="22">
        <v>0.0</v>
      </c>
      <c r="F138" s="22">
        <v>100000.0</v>
      </c>
    </row>
    <row r="139">
      <c r="A139" s="21"/>
      <c r="B139" s="22">
        <v>5.0</v>
      </c>
      <c r="C139" s="23" t="s">
        <v>232</v>
      </c>
      <c r="D139" s="24" t="s">
        <v>241</v>
      </c>
      <c r="E139" s="22">
        <v>0.0</v>
      </c>
      <c r="F139" s="22">
        <v>150000.0</v>
      </c>
    </row>
    <row r="141">
      <c r="A141" s="10" t="str">
        <f>"# 스킬 idx " &amp;A143&amp; VLOOKUP(A143,SkillData!A$2:E$459,3,FALSE)</f>
        <v># 스킬 idx 1001630016</v>
      </c>
    </row>
    <row r="142">
      <c r="A142" s="4" t="s">
        <v>224</v>
      </c>
      <c r="B142" s="4" t="s">
        <v>225</v>
      </c>
      <c r="C142" s="4" t="s">
        <v>226</v>
      </c>
      <c r="D142" s="4" t="s">
        <v>227</v>
      </c>
      <c r="E142" s="4" t="s">
        <v>228</v>
      </c>
      <c r="F142" s="4" t="s">
        <v>229</v>
      </c>
    </row>
    <row r="143">
      <c r="A143" s="22">
        <v>10016.0</v>
      </c>
      <c r="B143" s="22">
        <v>1.0</v>
      </c>
      <c r="C143" s="23" t="s">
        <v>232</v>
      </c>
      <c r="D143" s="24" t="s">
        <v>241</v>
      </c>
      <c r="E143" s="22">
        <v>0.0</v>
      </c>
      <c r="F143" s="22">
        <v>30000.0</v>
      </c>
      <c r="G143" s="9" t="str">
        <f t="shared" ref="G143:H143" si="20">"[" &amp;E143&amp;","&amp;E144&amp;","&amp;E145&amp;","&amp;E146&amp;","&amp;E147&amp; "]"</f>
        <v>[0,0,0,0,0]</v>
      </c>
      <c r="H143" s="9" t="str">
        <f t="shared" si="20"/>
        <v>[30000,50000,70000,100000,150000]</v>
      </c>
    </row>
    <row r="144">
      <c r="A144" s="21"/>
      <c r="B144" s="22">
        <v>2.0</v>
      </c>
      <c r="C144" s="23" t="s">
        <v>232</v>
      </c>
      <c r="D144" s="24" t="s">
        <v>241</v>
      </c>
      <c r="E144" s="22">
        <v>0.0</v>
      </c>
      <c r="F144" s="22">
        <v>50000.0</v>
      </c>
    </row>
    <row r="145">
      <c r="A145" s="21"/>
      <c r="B145" s="22">
        <v>3.0</v>
      </c>
      <c r="C145" s="23" t="s">
        <v>232</v>
      </c>
      <c r="D145" s="24" t="s">
        <v>241</v>
      </c>
      <c r="E145" s="22">
        <v>0.0</v>
      </c>
      <c r="F145" s="22">
        <v>70000.0</v>
      </c>
    </row>
    <row r="146">
      <c r="A146" s="21"/>
      <c r="B146" s="22">
        <v>4.0</v>
      </c>
      <c r="C146" s="23" t="s">
        <v>232</v>
      </c>
      <c r="D146" s="24" t="s">
        <v>241</v>
      </c>
      <c r="E146" s="22">
        <v>0.0</v>
      </c>
      <c r="F146" s="22">
        <v>100000.0</v>
      </c>
    </row>
    <row r="147">
      <c r="A147" s="21"/>
      <c r="B147" s="22">
        <v>5.0</v>
      </c>
      <c r="C147" s="23" t="s">
        <v>232</v>
      </c>
      <c r="D147" s="24" t="s">
        <v>241</v>
      </c>
      <c r="E147" s="22">
        <v>0.0</v>
      </c>
      <c r="F147" s="22">
        <v>150000.0</v>
      </c>
    </row>
    <row r="148">
      <c r="A148" s="22">
        <f>A143+10000</f>
        <v>20016</v>
      </c>
      <c r="B148" s="22">
        <v>1.0</v>
      </c>
      <c r="C148" s="23" t="s">
        <v>242</v>
      </c>
      <c r="D148" s="24" t="s">
        <v>243</v>
      </c>
      <c r="E148" s="22">
        <v>0.0</v>
      </c>
      <c r="F148" s="22">
        <v>30000.0</v>
      </c>
      <c r="G148" s="9" t="str">
        <f t="shared" ref="G148:H148" si="21">"[" &amp;E148&amp;","&amp;E149&amp;","&amp;E150&amp;","&amp;E151&amp;","&amp;E152&amp; "]"</f>
        <v>[0,0,0,0,0]</v>
      </c>
      <c r="H148" s="9" t="str">
        <f t="shared" si="21"/>
        <v>[30000,50000,70000,100000,150000]</v>
      </c>
    </row>
    <row r="149">
      <c r="A149" s="21"/>
      <c r="B149" s="22">
        <v>2.0</v>
      </c>
      <c r="C149" s="23" t="s">
        <v>242</v>
      </c>
      <c r="D149" s="24" t="s">
        <v>243</v>
      </c>
      <c r="E149" s="22">
        <v>0.0</v>
      </c>
      <c r="F149" s="22">
        <v>50000.0</v>
      </c>
    </row>
    <row r="150">
      <c r="A150" s="21"/>
      <c r="B150" s="22">
        <v>3.0</v>
      </c>
      <c r="C150" s="23" t="s">
        <v>242</v>
      </c>
      <c r="D150" s="24" t="s">
        <v>243</v>
      </c>
      <c r="E150" s="22">
        <v>0.0</v>
      </c>
      <c r="F150" s="22">
        <v>70000.0</v>
      </c>
    </row>
    <row r="151" ht="15.75" customHeight="1">
      <c r="A151" s="21"/>
      <c r="B151" s="22">
        <v>4.0</v>
      </c>
      <c r="C151" s="23" t="s">
        <v>242</v>
      </c>
      <c r="D151" s="24" t="s">
        <v>243</v>
      </c>
      <c r="E151" s="22">
        <v>0.0</v>
      </c>
      <c r="F151" s="22">
        <v>100000.0</v>
      </c>
    </row>
    <row r="152">
      <c r="A152" s="21"/>
      <c r="B152" s="22">
        <v>5.0</v>
      </c>
      <c r="C152" s="23" t="s">
        <v>242</v>
      </c>
      <c r="D152" s="24" t="s">
        <v>243</v>
      </c>
      <c r="E152" s="22">
        <v>0.0</v>
      </c>
      <c r="F152" s="22">
        <v>150000.0</v>
      </c>
    </row>
    <row r="154">
      <c r="A154" s="10" t="str">
        <f>"# 스킬 idx " &amp;A156&amp; VLOOKUP(A156,SkillData!A$2:E$459,3,FALSE)</f>
        <v># 스킬 idx 1001730017</v>
      </c>
    </row>
    <row r="155">
      <c r="A155" s="4" t="s">
        <v>224</v>
      </c>
      <c r="B155" s="4" t="s">
        <v>225</v>
      </c>
      <c r="C155" s="4" t="s">
        <v>226</v>
      </c>
      <c r="D155" s="4" t="s">
        <v>227</v>
      </c>
      <c r="E155" s="4" t="s">
        <v>228</v>
      </c>
      <c r="F155" s="4" t="s">
        <v>229</v>
      </c>
    </row>
    <row r="156">
      <c r="A156" s="22">
        <v>10017.0</v>
      </c>
      <c r="B156" s="22">
        <v>1.0</v>
      </c>
      <c r="C156" s="23" t="s">
        <v>232</v>
      </c>
      <c r="D156" s="24" t="s">
        <v>244</v>
      </c>
      <c r="E156" s="22">
        <v>0.0</v>
      </c>
      <c r="F156" s="22">
        <v>30000.0</v>
      </c>
      <c r="G156" s="9" t="str">
        <f t="shared" ref="G156:H156" si="22">"[" &amp;E156&amp;","&amp;E157&amp;","&amp;E158&amp;","&amp;E159&amp;","&amp;E160&amp; "]"</f>
        <v>[0,0,0,0,0]</v>
      </c>
      <c r="H156" s="9" t="str">
        <f t="shared" si="22"/>
        <v>[30000,50000,70000,100000,150000]</v>
      </c>
    </row>
    <row r="157">
      <c r="A157" s="21"/>
      <c r="B157" s="22">
        <v>2.0</v>
      </c>
      <c r="C157" s="23" t="s">
        <v>232</v>
      </c>
      <c r="D157" s="24" t="s">
        <v>244</v>
      </c>
      <c r="E157" s="22">
        <v>0.0</v>
      </c>
      <c r="F157" s="22">
        <v>50000.0</v>
      </c>
    </row>
    <row r="158">
      <c r="A158" s="21"/>
      <c r="B158" s="22">
        <v>3.0</v>
      </c>
      <c r="C158" s="23" t="s">
        <v>232</v>
      </c>
      <c r="D158" s="24" t="s">
        <v>244</v>
      </c>
      <c r="E158" s="22">
        <v>0.0</v>
      </c>
      <c r="F158" s="22">
        <v>70000.0</v>
      </c>
    </row>
    <row r="159">
      <c r="A159" s="21"/>
      <c r="B159" s="22">
        <v>4.0</v>
      </c>
      <c r="C159" s="23" t="s">
        <v>232</v>
      </c>
      <c r="D159" s="24" t="s">
        <v>244</v>
      </c>
      <c r="E159" s="22">
        <v>0.0</v>
      </c>
      <c r="F159" s="22">
        <v>100000.0</v>
      </c>
    </row>
    <row r="160">
      <c r="A160" s="21"/>
      <c r="B160" s="22">
        <v>5.0</v>
      </c>
      <c r="C160" s="23" t="s">
        <v>232</v>
      </c>
      <c r="D160" s="24" t="s">
        <v>244</v>
      </c>
      <c r="E160" s="22">
        <v>0.0</v>
      </c>
      <c r="F160" s="22">
        <v>150000.0</v>
      </c>
    </row>
    <row r="162">
      <c r="A162" s="10" t="str">
        <f>"# 스킬 idx " &amp;A164&amp; VLOOKUP(A164,SkillData!A$2:E$459,3,FALSE)</f>
        <v># 스킬 idx 1001830018</v>
      </c>
    </row>
    <row r="163">
      <c r="A163" s="4" t="s">
        <v>224</v>
      </c>
      <c r="B163" s="4" t="s">
        <v>225</v>
      </c>
      <c r="C163" s="4" t="s">
        <v>226</v>
      </c>
      <c r="D163" s="4" t="s">
        <v>227</v>
      </c>
      <c r="E163" s="4" t="s">
        <v>228</v>
      </c>
      <c r="F163" s="4" t="s">
        <v>229</v>
      </c>
    </row>
    <row r="164">
      <c r="A164" s="22">
        <v>10018.0</v>
      </c>
      <c r="B164" s="22">
        <v>1.0</v>
      </c>
      <c r="C164" s="23" t="s">
        <v>232</v>
      </c>
      <c r="D164" s="24" t="s">
        <v>244</v>
      </c>
      <c r="E164" s="22">
        <v>0.0</v>
      </c>
      <c r="F164" s="22">
        <v>30000.0</v>
      </c>
      <c r="G164" s="9" t="str">
        <f t="shared" ref="G164:H164" si="23">"[" &amp;E164&amp;","&amp;E165&amp;","&amp;E166&amp;","&amp;E167&amp;","&amp;E168&amp; "]"</f>
        <v>[0,0,0,0,0]</v>
      </c>
      <c r="H164" s="9" t="str">
        <f t="shared" si="23"/>
        <v>[30000,50000,70000,100000,150000]</v>
      </c>
    </row>
    <row r="165">
      <c r="A165" s="21"/>
      <c r="B165" s="22">
        <v>2.0</v>
      </c>
      <c r="C165" s="23" t="s">
        <v>232</v>
      </c>
      <c r="D165" s="24" t="s">
        <v>244</v>
      </c>
      <c r="E165" s="22">
        <v>0.0</v>
      </c>
      <c r="F165" s="22">
        <v>50000.0</v>
      </c>
    </row>
    <row r="166">
      <c r="A166" s="21"/>
      <c r="B166" s="22">
        <v>3.0</v>
      </c>
      <c r="C166" s="23" t="s">
        <v>232</v>
      </c>
      <c r="D166" s="24" t="s">
        <v>244</v>
      </c>
      <c r="E166" s="22">
        <v>0.0</v>
      </c>
      <c r="F166" s="22">
        <v>70000.0</v>
      </c>
    </row>
    <row r="167">
      <c r="A167" s="21"/>
      <c r="B167" s="22">
        <v>4.0</v>
      </c>
      <c r="C167" s="23" t="s">
        <v>232</v>
      </c>
      <c r="D167" s="24" t="s">
        <v>244</v>
      </c>
      <c r="E167" s="22">
        <v>0.0</v>
      </c>
      <c r="F167" s="22">
        <v>100000.0</v>
      </c>
    </row>
    <row r="168">
      <c r="A168" s="21"/>
      <c r="B168" s="22">
        <v>5.0</v>
      </c>
      <c r="C168" s="23" t="s">
        <v>232</v>
      </c>
      <c r="D168" s="24" t="s">
        <v>244</v>
      </c>
      <c r="E168" s="22">
        <v>0.0</v>
      </c>
      <c r="F168" s="22">
        <v>150000.0</v>
      </c>
    </row>
    <row r="169">
      <c r="A169" s="22">
        <f>A164+10000</f>
        <v>20018</v>
      </c>
      <c r="B169" s="22">
        <v>1.0</v>
      </c>
      <c r="C169" s="23" t="s">
        <v>242</v>
      </c>
      <c r="D169" s="24" t="s">
        <v>243</v>
      </c>
      <c r="E169" s="22">
        <v>0.0</v>
      </c>
      <c r="F169" s="22">
        <v>30000.0</v>
      </c>
      <c r="G169" s="9" t="str">
        <f t="shared" ref="G169:H169" si="24">"[" &amp;E169&amp;","&amp;E170&amp;","&amp;E171&amp;","&amp;E172&amp;","&amp;E173&amp; "]"</f>
        <v>[0,0,0,0,0]</v>
      </c>
      <c r="H169" s="9" t="str">
        <f t="shared" si="24"/>
        <v>[30000,50000,70000,100000,150000]</v>
      </c>
    </row>
    <row r="170">
      <c r="A170" s="21"/>
      <c r="B170" s="22">
        <v>2.0</v>
      </c>
      <c r="C170" s="23" t="s">
        <v>242</v>
      </c>
      <c r="D170" s="24" t="s">
        <v>243</v>
      </c>
      <c r="E170" s="22">
        <v>0.0</v>
      </c>
      <c r="F170" s="22">
        <v>50000.0</v>
      </c>
    </row>
    <row r="171">
      <c r="A171" s="21"/>
      <c r="B171" s="22">
        <v>3.0</v>
      </c>
      <c r="C171" s="23" t="s">
        <v>242</v>
      </c>
      <c r="D171" s="24" t="s">
        <v>243</v>
      </c>
      <c r="E171" s="22">
        <v>0.0</v>
      </c>
      <c r="F171" s="22">
        <v>70000.0</v>
      </c>
    </row>
    <row r="172" ht="15.75" customHeight="1">
      <c r="A172" s="21"/>
      <c r="B172" s="22">
        <v>4.0</v>
      </c>
      <c r="C172" s="23" t="s">
        <v>242</v>
      </c>
      <c r="D172" s="24" t="s">
        <v>243</v>
      </c>
      <c r="E172" s="22">
        <v>0.0</v>
      </c>
      <c r="F172" s="22">
        <v>100000.0</v>
      </c>
    </row>
    <row r="173">
      <c r="A173" s="21"/>
      <c r="B173" s="22">
        <v>5.0</v>
      </c>
      <c r="C173" s="23" t="s">
        <v>242</v>
      </c>
      <c r="D173" s="24" t="s">
        <v>243</v>
      </c>
      <c r="E173" s="22">
        <v>0.0</v>
      </c>
      <c r="F173" s="22">
        <v>150000.0</v>
      </c>
    </row>
    <row r="175">
      <c r="A175" s="10" t="str">
        <f>"# 스킬 idx " &amp;A177&amp; VLOOKUP(A177,SkillData!A$2:E$459,3,FALSE)</f>
        <v># 스킬 idx 1001930019</v>
      </c>
    </row>
    <row r="176">
      <c r="A176" s="4" t="s">
        <v>224</v>
      </c>
      <c r="B176" s="4" t="s">
        <v>225</v>
      </c>
      <c r="C176" s="4" t="s">
        <v>226</v>
      </c>
      <c r="D176" s="4" t="s">
        <v>227</v>
      </c>
      <c r="E176" s="4" t="s">
        <v>228</v>
      </c>
      <c r="F176" s="4" t="s">
        <v>229</v>
      </c>
    </row>
    <row r="177">
      <c r="A177" s="22">
        <v>10019.0</v>
      </c>
      <c r="B177" s="22">
        <v>1.0</v>
      </c>
      <c r="C177" s="23" t="s">
        <v>232</v>
      </c>
      <c r="D177" s="24" t="s">
        <v>245</v>
      </c>
      <c r="E177" s="22">
        <v>0.0</v>
      </c>
      <c r="F177" s="22">
        <v>30000.0</v>
      </c>
      <c r="G177" s="9" t="str">
        <f t="shared" ref="G177:H177" si="25">"[" &amp;E177&amp;","&amp;E178&amp;","&amp;E179&amp;","&amp;E180&amp;","&amp;E181&amp; "]"</f>
        <v>[0,0,0,0,0]</v>
      </c>
      <c r="H177" s="9" t="str">
        <f t="shared" si="25"/>
        <v>[30000,50000,70000,100000,150000]</v>
      </c>
    </row>
    <row r="178">
      <c r="A178" s="21"/>
      <c r="B178" s="22">
        <v>2.0</v>
      </c>
      <c r="C178" s="23" t="s">
        <v>232</v>
      </c>
      <c r="D178" s="24" t="s">
        <v>245</v>
      </c>
      <c r="E178" s="22">
        <v>0.0</v>
      </c>
      <c r="F178" s="22">
        <v>50000.0</v>
      </c>
    </row>
    <row r="179">
      <c r="A179" s="21"/>
      <c r="B179" s="22">
        <v>3.0</v>
      </c>
      <c r="C179" s="23" t="s">
        <v>232</v>
      </c>
      <c r="D179" s="24" t="s">
        <v>245</v>
      </c>
      <c r="E179" s="22">
        <v>0.0</v>
      </c>
      <c r="F179" s="22">
        <v>70000.0</v>
      </c>
    </row>
    <row r="180">
      <c r="A180" s="21"/>
      <c r="B180" s="22">
        <v>4.0</v>
      </c>
      <c r="C180" s="23" t="s">
        <v>232</v>
      </c>
      <c r="D180" s="24" t="s">
        <v>245</v>
      </c>
      <c r="E180" s="22">
        <v>0.0</v>
      </c>
      <c r="F180" s="22">
        <v>100000.0</v>
      </c>
    </row>
    <row r="181">
      <c r="A181" s="21"/>
      <c r="B181" s="22">
        <v>5.0</v>
      </c>
      <c r="C181" s="23" t="s">
        <v>232</v>
      </c>
      <c r="D181" s="24" t="s">
        <v>245</v>
      </c>
      <c r="E181" s="22">
        <v>0.0</v>
      </c>
      <c r="F181" s="22">
        <v>150000.0</v>
      </c>
    </row>
    <row r="183">
      <c r="A183" s="10" t="str">
        <f>"# 스킬 idx " &amp;A185&amp; VLOOKUP(A185,SkillData!A$2:E$459,3,FALSE)</f>
        <v># 스킬 idx 1002030020</v>
      </c>
    </row>
    <row r="184">
      <c r="A184" s="4" t="s">
        <v>224</v>
      </c>
      <c r="B184" s="4" t="s">
        <v>225</v>
      </c>
      <c r="C184" s="4" t="s">
        <v>226</v>
      </c>
      <c r="D184" s="4" t="s">
        <v>227</v>
      </c>
      <c r="E184" s="4" t="s">
        <v>228</v>
      </c>
      <c r="F184" s="4" t="s">
        <v>229</v>
      </c>
    </row>
    <row r="185">
      <c r="A185" s="22">
        <v>10020.0</v>
      </c>
      <c r="B185" s="22">
        <v>1.0</v>
      </c>
      <c r="C185" s="23" t="s">
        <v>232</v>
      </c>
      <c r="D185" s="24" t="s">
        <v>246</v>
      </c>
      <c r="E185" s="22">
        <v>0.0</v>
      </c>
      <c r="F185" s="22">
        <v>30000.0</v>
      </c>
      <c r="G185" s="9" t="str">
        <f t="shared" ref="G185:H185" si="26">"[" &amp;E185&amp;","&amp;E186&amp;","&amp;E187&amp;","&amp;E188&amp;","&amp;E189&amp; "]"</f>
        <v>[0,0,0,0,0]</v>
      </c>
      <c r="H185" s="9" t="str">
        <f t="shared" si="26"/>
        <v>[30000,50000,70000,100000,150000]</v>
      </c>
    </row>
    <row r="186">
      <c r="A186" s="21"/>
      <c r="B186" s="22">
        <v>2.0</v>
      </c>
      <c r="C186" s="23" t="s">
        <v>232</v>
      </c>
      <c r="D186" s="24" t="s">
        <v>246</v>
      </c>
      <c r="E186" s="22">
        <v>0.0</v>
      </c>
      <c r="F186" s="22">
        <v>50000.0</v>
      </c>
    </row>
    <row r="187">
      <c r="A187" s="21"/>
      <c r="B187" s="22">
        <v>3.0</v>
      </c>
      <c r="C187" s="23" t="s">
        <v>232</v>
      </c>
      <c r="D187" s="24" t="s">
        <v>246</v>
      </c>
      <c r="E187" s="22">
        <v>0.0</v>
      </c>
      <c r="F187" s="22">
        <v>70000.0</v>
      </c>
    </row>
    <row r="188">
      <c r="A188" s="21"/>
      <c r="B188" s="22">
        <v>4.0</v>
      </c>
      <c r="C188" s="23" t="s">
        <v>232</v>
      </c>
      <c r="D188" s="24" t="s">
        <v>246</v>
      </c>
      <c r="E188" s="22">
        <v>0.0</v>
      </c>
      <c r="F188" s="22">
        <v>100000.0</v>
      </c>
    </row>
    <row r="189">
      <c r="A189" s="21"/>
      <c r="B189" s="22">
        <v>5.0</v>
      </c>
      <c r="C189" s="23" t="s">
        <v>232</v>
      </c>
      <c r="D189" s="24" t="s">
        <v>246</v>
      </c>
      <c r="E189" s="22">
        <v>0.0</v>
      </c>
      <c r="F189" s="22">
        <v>150000.0</v>
      </c>
    </row>
    <row r="191">
      <c r="A191" s="10" t="str">
        <f>"# 스킬 idx " &amp;A193&amp; VLOOKUP(A193,SkillData!A$2:E$459,3,FALSE)</f>
        <v># 스킬 idx 1002130021</v>
      </c>
    </row>
    <row r="192">
      <c r="A192" s="4" t="s">
        <v>224</v>
      </c>
      <c r="B192" s="4" t="s">
        <v>225</v>
      </c>
      <c r="C192" s="4" t="s">
        <v>226</v>
      </c>
      <c r="D192" s="4" t="s">
        <v>227</v>
      </c>
      <c r="E192" s="4" t="s">
        <v>228</v>
      </c>
      <c r="F192" s="4" t="s">
        <v>229</v>
      </c>
    </row>
    <row r="193">
      <c r="A193" s="22">
        <v>10021.0</v>
      </c>
      <c r="B193" s="22">
        <v>1.0</v>
      </c>
      <c r="C193" s="23" t="s">
        <v>232</v>
      </c>
      <c r="D193" s="24" t="s">
        <v>247</v>
      </c>
      <c r="E193" s="22">
        <v>0.0</v>
      </c>
      <c r="F193" s="22">
        <v>30000.0</v>
      </c>
      <c r="G193" s="9" t="str">
        <f t="shared" ref="G193:H193" si="27">"[" &amp;E193&amp;","&amp;E194&amp;","&amp;E195&amp;","&amp;E196&amp;","&amp;E197&amp; "]"</f>
        <v>[0,0,0,0,0]</v>
      </c>
      <c r="H193" s="9" t="str">
        <f t="shared" si="27"/>
        <v>[30000,50000,70000,100000,150000]</v>
      </c>
    </row>
    <row r="194">
      <c r="A194" s="21"/>
      <c r="B194" s="22">
        <v>2.0</v>
      </c>
      <c r="C194" s="23" t="s">
        <v>232</v>
      </c>
      <c r="D194" s="24" t="s">
        <v>247</v>
      </c>
      <c r="E194" s="22">
        <v>0.0</v>
      </c>
      <c r="F194" s="22">
        <v>50000.0</v>
      </c>
    </row>
    <row r="195">
      <c r="A195" s="21"/>
      <c r="B195" s="22">
        <v>3.0</v>
      </c>
      <c r="C195" s="23" t="s">
        <v>232</v>
      </c>
      <c r="D195" s="24" t="s">
        <v>247</v>
      </c>
      <c r="E195" s="22">
        <v>0.0</v>
      </c>
      <c r="F195" s="22">
        <v>70000.0</v>
      </c>
    </row>
    <row r="196">
      <c r="A196" s="21"/>
      <c r="B196" s="22">
        <v>4.0</v>
      </c>
      <c r="C196" s="23" t="s">
        <v>232</v>
      </c>
      <c r="D196" s="24" t="s">
        <v>247</v>
      </c>
      <c r="E196" s="22">
        <v>0.0</v>
      </c>
      <c r="F196" s="22">
        <v>100000.0</v>
      </c>
    </row>
    <row r="197">
      <c r="A197" s="21"/>
      <c r="B197" s="22">
        <v>5.0</v>
      </c>
      <c r="C197" s="23" t="s">
        <v>232</v>
      </c>
      <c r="D197" s="24" t="s">
        <v>247</v>
      </c>
      <c r="E197" s="22">
        <v>0.0</v>
      </c>
      <c r="F197" s="22">
        <v>150000.0</v>
      </c>
    </row>
    <row r="199">
      <c r="A199" s="10" t="str">
        <f>"# 스킬 idx " &amp;A201&amp; VLOOKUP(A201,SkillData!A$2:E$459,3,FALSE)</f>
        <v># 스킬 idx 1002230022</v>
      </c>
    </row>
    <row r="200">
      <c r="A200" s="4" t="s">
        <v>224</v>
      </c>
      <c r="B200" s="4" t="s">
        <v>225</v>
      </c>
      <c r="C200" s="4" t="s">
        <v>226</v>
      </c>
      <c r="D200" s="4" t="s">
        <v>227</v>
      </c>
      <c r="E200" s="4" t="s">
        <v>228</v>
      </c>
      <c r="F200" s="4" t="s">
        <v>229</v>
      </c>
    </row>
    <row r="201">
      <c r="A201" s="22">
        <v>10022.0</v>
      </c>
      <c r="B201" s="22">
        <v>1.0</v>
      </c>
      <c r="C201" s="23" t="s">
        <v>234</v>
      </c>
      <c r="D201" s="24" t="s">
        <v>248</v>
      </c>
      <c r="E201" s="22">
        <v>0.0</v>
      </c>
      <c r="F201" s="22">
        <v>5.0</v>
      </c>
      <c r="G201" s="9" t="str">
        <f t="shared" ref="G201:H201" si="28">"[" &amp;E201&amp;","&amp;E202&amp;","&amp;E203&amp;","&amp;E204&amp;","&amp;E205&amp; "]"</f>
        <v>[0,0,0,0,0]</v>
      </c>
      <c r="H201" s="9" t="str">
        <f t="shared" si="28"/>
        <v>[5,8,14,20,30]</v>
      </c>
    </row>
    <row r="202">
      <c r="A202" s="21"/>
      <c r="B202" s="22">
        <v>2.0</v>
      </c>
      <c r="C202" s="23" t="s">
        <v>234</v>
      </c>
      <c r="D202" s="24" t="s">
        <v>248</v>
      </c>
      <c r="E202" s="22">
        <v>0.0</v>
      </c>
      <c r="F202" s="22">
        <v>8.0</v>
      </c>
    </row>
    <row r="203">
      <c r="A203" s="21"/>
      <c r="B203" s="22">
        <v>3.0</v>
      </c>
      <c r="C203" s="23" t="s">
        <v>234</v>
      </c>
      <c r="D203" s="24" t="s">
        <v>248</v>
      </c>
      <c r="E203" s="22">
        <v>0.0</v>
      </c>
      <c r="F203" s="22">
        <v>14.0</v>
      </c>
    </row>
    <row r="204">
      <c r="A204" s="21"/>
      <c r="B204" s="22">
        <v>4.0</v>
      </c>
      <c r="C204" s="23" t="s">
        <v>234</v>
      </c>
      <c r="D204" s="24" t="s">
        <v>248</v>
      </c>
      <c r="E204" s="22">
        <v>0.0</v>
      </c>
      <c r="F204" s="22">
        <v>20.0</v>
      </c>
    </row>
    <row r="205">
      <c r="A205" s="21"/>
      <c r="B205" s="22">
        <v>5.0</v>
      </c>
      <c r="C205" s="23" t="s">
        <v>234</v>
      </c>
      <c r="D205" s="24" t="s">
        <v>248</v>
      </c>
      <c r="E205" s="22">
        <v>0.0</v>
      </c>
      <c r="F205" s="22">
        <v>30.0</v>
      </c>
    </row>
    <row r="207">
      <c r="A207" s="10" t="str">
        <f>"# 스킬 idx " &amp;A209&amp; VLOOKUP(A209,SkillData!A$2:E$459,3,FALSE)</f>
        <v># 스킬 idx 1002330023</v>
      </c>
    </row>
    <row r="208">
      <c r="A208" s="4" t="s">
        <v>224</v>
      </c>
      <c r="B208" s="4" t="s">
        <v>225</v>
      </c>
      <c r="C208" s="4" t="s">
        <v>226</v>
      </c>
      <c r="D208" s="4" t="s">
        <v>227</v>
      </c>
      <c r="E208" s="4" t="s">
        <v>228</v>
      </c>
      <c r="F208" s="4" t="s">
        <v>229</v>
      </c>
    </row>
    <row r="209">
      <c r="A209" s="22">
        <v>10023.0</v>
      </c>
      <c r="B209" s="22">
        <v>1.0</v>
      </c>
      <c r="C209" s="23" t="s">
        <v>237</v>
      </c>
      <c r="D209" s="24" t="s">
        <v>249</v>
      </c>
      <c r="E209" s="22">
        <v>0.0</v>
      </c>
      <c r="F209" s="22">
        <v>5.0</v>
      </c>
      <c r="G209" s="9" t="str">
        <f t="shared" ref="G209:H209" si="29">"[" &amp;E209&amp;","&amp;E210&amp;","&amp;E211&amp;","&amp;E212&amp;","&amp;E213&amp; "]"</f>
        <v>[0,0,0,0,0]</v>
      </c>
      <c r="H209" s="9" t="str">
        <f t="shared" si="29"/>
        <v>[5,8,14,20,30]</v>
      </c>
    </row>
    <row r="210">
      <c r="A210" s="21"/>
      <c r="B210" s="22">
        <v>2.0</v>
      </c>
      <c r="C210" s="23" t="s">
        <v>237</v>
      </c>
      <c r="D210" s="24" t="s">
        <v>249</v>
      </c>
      <c r="E210" s="22">
        <v>0.0</v>
      </c>
      <c r="F210" s="22">
        <v>8.0</v>
      </c>
    </row>
    <row r="211">
      <c r="A211" s="21"/>
      <c r="B211" s="22">
        <v>3.0</v>
      </c>
      <c r="C211" s="23" t="s">
        <v>237</v>
      </c>
      <c r="D211" s="24" t="s">
        <v>249</v>
      </c>
      <c r="E211" s="22">
        <v>0.0</v>
      </c>
      <c r="F211" s="22">
        <v>14.0</v>
      </c>
    </row>
    <row r="212">
      <c r="A212" s="21"/>
      <c r="B212" s="22">
        <v>4.0</v>
      </c>
      <c r="C212" s="23" t="s">
        <v>237</v>
      </c>
      <c r="D212" s="24" t="s">
        <v>249</v>
      </c>
      <c r="E212" s="22">
        <v>0.0</v>
      </c>
      <c r="F212" s="22">
        <v>20.0</v>
      </c>
    </row>
    <row r="213">
      <c r="A213" s="21"/>
      <c r="B213" s="22">
        <v>5.0</v>
      </c>
      <c r="C213" s="23" t="s">
        <v>237</v>
      </c>
      <c r="D213" s="24" t="s">
        <v>249</v>
      </c>
      <c r="E213" s="22">
        <v>0.0</v>
      </c>
      <c r="F213" s="22">
        <v>30.0</v>
      </c>
    </row>
    <row r="215">
      <c r="A215" s="10" t="str">
        <f>"# 스킬 idx " &amp;A217&amp; VLOOKUP(A217,SkillData!A$2:E$459,3,FALSE)</f>
        <v># 스킬 idx 1002430024</v>
      </c>
    </row>
    <row r="216">
      <c r="A216" s="4" t="s">
        <v>224</v>
      </c>
      <c r="B216" s="4" t="s">
        <v>225</v>
      </c>
      <c r="C216" s="4" t="s">
        <v>226</v>
      </c>
      <c r="D216" s="4" t="s">
        <v>227</v>
      </c>
      <c r="E216" s="4" t="s">
        <v>228</v>
      </c>
      <c r="F216" s="4" t="s">
        <v>229</v>
      </c>
    </row>
    <row r="217">
      <c r="A217" s="22">
        <v>10024.0</v>
      </c>
      <c r="B217" s="22">
        <v>1.0</v>
      </c>
      <c r="C217" s="23" t="s">
        <v>230</v>
      </c>
      <c r="D217" s="24" t="s">
        <v>250</v>
      </c>
      <c r="E217" s="22">
        <v>0.0</v>
      </c>
      <c r="F217" s="22">
        <v>3.0</v>
      </c>
      <c r="G217" s="9" t="str">
        <f t="shared" ref="G217:H217" si="30">"[" &amp;E217&amp;","&amp;E218&amp;","&amp;E219&amp;","&amp;E220&amp;","&amp;E221&amp; "]"</f>
        <v>[0,0,0,0,0]</v>
      </c>
      <c r="H217" s="9" t="str">
        <f t="shared" si="30"/>
        <v>[3,4,7,10,15]</v>
      </c>
    </row>
    <row r="218">
      <c r="A218" s="21"/>
      <c r="B218" s="22">
        <v>2.0</v>
      </c>
      <c r="C218" s="23" t="s">
        <v>230</v>
      </c>
      <c r="D218" s="24" t="s">
        <v>250</v>
      </c>
      <c r="E218" s="22">
        <v>0.0</v>
      </c>
      <c r="F218" s="22">
        <v>4.0</v>
      </c>
    </row>
    <row r="219">
      <c r="A219" s="21"/>
      <c r="B219" s="22">
        <v>3.0</v>
      </c>
      <c r="C219" s="23" t="s">
        <v>230</v>
      </c>
      <c r="D219" s="24" t="s">
        <v>250</v>
      </c>
      <c r="E219" s="22">
        <v>0.0</v>
      </c>
      <c r="F219" s="22">
        <v>7.0</v>
      </c>
    </row>
    <row r="220">
      <c r="A220" s="21"/>
      <c r="B220" s="22">
        <v>4.0</v>
      </c>
      <c r="C220" s="23" t="s">
        <v>230</v>
      </c>
      <c r="D220" s="24" t="s">
        <v>250</v>
      </c>
      <c r="E220" s="22">
        <v>0.0</v>
      </c>
      <c r="F220" s="22">
        <v>10.0</v>
      </c>
    </row>
    <row r="221">
      <c r="A221" s="21"/>
      <c r="B221" s="22">
        <v>5.0</v>
      </c>
      <c r="C221" s="23" t="s">
        <v>230</v>
      </c>
      <c r="D221" s="24" t="s">
        <v>250</v>
      </c>
      <c r="E221" s="22">
        <v>0.0</v>
      </c>
      <c r="F221" s="22">
        <v>15.0</v>
      </c>
    </row>
    <row r="222">
      <c r="A222" s="22">
        <f>A217+10000</f>
        <v>20024</v>
      </c>
      <c r="B222" s="22">
        <v>1.0</v>
      </c>
      <c r="C222" s="23" t="s">
        <v>237</v>
      </c>
      <c r="D222" s="24" t="s">
        <v>236</v>
      </c>
      <c r="E222" s="22">
        <v>0.0</v>
      </c>
      <c r="F222" s="22">
        <v>3.0</v>
      </c>
      <c r="G222" s="9" t="str">
        <f t="shared" ref="G222:H222" si="31">"[" &amp;E222&amp;","&amp;E223&amp;","&amp;E224&amp;","&amp;E225&amp;","&amp;E226&amp; "]"</f>
        <v>[0,0,0,0,0]</v>
      </c>
      <c r="H222" s="9" t="str">
        <f t="shared" si="31"/>
        <v>[3,4,7,10,15]</v>
      </c>
    </row>
    <row r="223">
      <c r="A223" s="21"/>
      <c r="B223" s="22">
        <v>2.0</v>
      </c>
      <c r="C223" s="23" t="s">
        <v>237</v>
      </c>
      <c r="D223" s="24" t="s">
        <v>236</v>
      </c>
      <c r="E223" s="22">
        <v>0.0</v>
      </c>
      <c r="F223" s="22">
        <v>4.0</v>
      </c>
    </row>
    <row r="224">
      <c r="A224" s="21"/>
      <c r="B224" s="22">
        <v>3.0</v>
      </c>
      <c r="C224" s="23" t="s">
        <v>237</v>
      </c>
      <c r="D224" s="24" t="s">
        <v>236</v>
      </c>
      <c r="E224" s="22">
        <v>0.0</v>
      </c>
      <c r="F224" s="22">
        <v>7.0</v>
      </c>
    </row>
    <row r="225" ht="15.75" customHeight="1">
      <c r="A225" s="21"/>
      <c r="B225" s="22">
        <v>4.0</v>
      </c>
      <c r="C225" s="23" t="s">
        <v>237</v>
      </c>
      <c r="D225" s="24" t="s">
        <v>236</v>
      </c>
      <c r="E225" s="22">
        <v>0.0</v>
      </c>
      <c r="F225" s="22">
        <v>10.0</v>
      </c>
    </row>
    <row r="226">
      <c r="A226" s="21"/>
      <c r="B226" s="22">
        <v>5.0</v>
      </c>
      <c r="C226" s="23" t="s">
        <v>237</v>
      </c>
      <c r="D226" s="24" t="s">
        <v>236</v>
      </c>
      <c r="E226" s="22">
        <v>0.0</v>
      </c>
      <c r="F226" s="22">
        <v>15.0</v>
      </c>
    </row>
    <row r="228">
      <c r="A228" s="10" t="str">
        <f>"# 스킬 idx " &amp;A230&amp; VLOOKUP(A230,SkillData!A$2:E$459,3,FALSE)</f>
        <v># 스킬 idx 1002530025</v>
      </c>
    </row>
    <row r="229">
      <c r="A229" s="4" t="s">
        <v>224</v>
      </c>
      <c r="B229" s="4" t="s">
        <v>225</v>
      </c>
      <c r="C229" s="4" t="s">
        <v>226</v>
      </c>
      <c r="D229" s="4" t="s">
        <v>227</v>
      </c>
      <c r="E229" s="4" t="s">
        <v>228</v>
      </c>
      <c r="F229" s="4" t="s">
        <v>229</v>
      </c>
    </row>
    <row r="230">
      <c r="A230" s="22">
        <v>10025.0</v>
      </c>
      <c r="B230" s="22">
        <v>1.0</v>
      </c>
      <c r="C230" s="23" t="s">
        <v>230</v>
      </c>
      <c r="D230" s="24" t="s">
        <v>251</v>
      </c>
      <c r="E230" s="22">
        <v>0.0</v>
      </c>
      <c r="F230" s="22">
        <v>3.0</v>
      </c>
      <c r="G230" s="9" t="str">
        <f t="shared" ref="G230:H230" si="32">"[" &amp;E230&amp;","&amp;E231&amp;","&amp;E232&amp;","&amp;E233&amp;","&amp;E234&amp; "]"</f>
        <v>[0,0,0,0,0]</v>
      </c>
      <c r="H230" s="9" t="str">
        <f t="shared" si="32"/>
        <v>[3,4,7,10,15]</v>
      </c>
    </row>
    <row r="231">
      <c r="A231" s="21"/>
      <c r="B231" s="22">
        <v>2.0</v>
      </c>
      <c r="C231" s="23" t="s">
        <v>230</v>
      </c>
      <c r="D231" s="24" t="s">
        <v>251</v>
      </c>
      <c r="E231" s="22">
        <v>0.0</v>
      </c>
      <c r="F231" s="22">
        <v>4.0</v>
      </c>
    </row>
    <row r="232">
      <c r="A232" s="21"/>
      <c r="B232" s="22">
        <v>3.0</v>
      </c>
      <c r="C232" s="23" t="s">
        <v>230</v>
      </c>
      <c r="D232" s="24" t="s">
        <v>251</v>
      </c>
      <c r="E232" s="22">
        <v>0.0</v>
      </c>
      <c r="F232" s="22">
        <v>7.0</v>
      </c>
    </row>
    <row r="233">
      <c r="A233" s="21"/>
      <c r="B233" s="22">
        <v>4.0</v>
      </c>
      <c r="C233" s="23" t="s">
        <v>230</v>
      </c>
      <c r="D233" s="24" t="s">
        <v>251</v>
      </c>
      <c r="E233" s="22">
        <v>0.0</v>
      </c>
      <c r="F233" s="22">
        <v>10.0</v>
      </c>
    </row>
    <row r="234">
      <c r="A234" s="21"/>
      <c r="B234" s="22">
        <v>5.0</v>
      </c>
      <c r="C234" s="23" t="s">
        <v>230</v>
      </c>
      <c r="D234" s="24" t="s">
        <v>251</v>
      </c>
      <c r="E234" s="22">
        <v>0.0</v>
      </c>
      <c r="F234" s="22">
        <v>15.0</v>
      </c>
    </row>
    <row r="235">
      <c r="A235" s="22">
        <f>A230+10000</f>
        <v>20025</v>
      </c>
      <c r="B235" s="22">
        <v>1.0</v>
      </c>
      <c r="C235" s="23" t="s">
        <v>234</v>
      </c>
      <c r="D235" s="24" t="s">
        <v>236</v>
      </c>
      <c r="E235" s="22">
        <v>0.0</v>
      </c>
      <c r="F235" s="22">
        <v>3.0</v>
      </c>
      <c r="G235" s="9" t="str">
        <f t="shared" ref="G235:H235" si="33">"[" &amp;E235&amp;","&amp;E236&amp;","&amp;E237&amp;","&amp;E238&amp;","&amp;E239&amp; "]"</f>
        <v>[0,0,0,0,0]</v>
      </c>
      <c r="H235" s="9" t="str">
        <f t="shared" si="33"/>
        <v>[3,4,7,10,15]</v>
      </c>
    </row>
    <row r="236">
      <c r="A236" s="21"/>
      <c r="B236" s="22">
        <v>2.0</v>
      </c>
      <c r="C236" s="23" t="s">
        <v>234</v>
      </c>
      <c r="D236" s="24" t="s">
        <v>236</v>
      </c>
      <c r="E236" s="22">
        <v>0.0</v>
      </c>
      <c r="F236" s="22">
        <v>4.0</v>
      </c>
    </row>
    <row r="237">
      <c r="A237" s="21"/>
      <c r="B237" s="22">
        <v>3.0</v>
      </c>
      <c r="C237" s="23" t="s">
        <v>234</v>
      </c>
      <c r="D237" s="24" t="s">
        <v>236</v>
      </c>
      <c r="E237" s="22">
        <v>0.0</v>
      </c>
      <c r="F237" s="22">
        <v>7.0</v>
      </c>
    </row>
    <row r="238" ht="15.75" customHeight="1">
      <c r="A238" s="21"/>
      <c r="B238" s="22">
        <v>4.0</v>
      </c>
      <c r="C238" s="23" t="s">
        <v>234</v>
      </c>
      <c r="D238" s="24" t="s">
        <v>236</v>
      </c>
      <c r="E238" s="22">
        <v>0.0</v>
      </c>
      <c r="F238" s="22">
        <v>10.0</v>
      </c>
    </row>
    <row r="239">
      <c r="A239" s="21"/>
      <c r="B239" s="22">
        <v>5.0</v>
      </c>
      <c r="C239" s="23" t="s">
        <v>234</v>
      </c>
      <c r="D239" s="24" t="s">
        <v>236</v>
      </c>
      <c r="E239" s="22">
        <v>0.0</v>
      </c>
      <c r="F239" s="22">
        <v>15.0</v>
      </c>
    </row>
    <row r="241">
      <c r="A241" s="10" t="str">
        <f>"# 스킬 idx " &amp;A243&amp; VLOOKUP(A243,SkillData!A$2:E$459,3,FALSE)</f>
        <v># 스킬 idx 1002630026</v>
      </c>
    </row>
    <row r="242">
      <c r="A242" s="4" t="s">
        <v>224</v>
      </c>
      <c r="B242" s="4" t="s">
        <v>225</v>
      </c>
      <c r="C242" s="4" t="s">
        <v>226</v>
      </c>
      <c r="D242" s="4" t="s">
        <v>227</v>
      </c>
      <c r="E242" s="4" t="s">
        <v>228</v>
      </c>
      <c r="F242" s="4" t="s">
        <v>229</v>
      </c>
    </row>
    <row r="243">
      <c r="A243" s="22">
        <v>10026.0</v>
      </c>
      <c r="B243" s="22">
        <v>1.0</v>
      </c>
      <c r="C243" s="23" t="s">
        <v>234</v>
      </c>
      <c r="D243" s="24" t="s">
        <v>252</v>
      </c>
      <c r="E243" s="22">
        <v>30.0</v>
      </c>
      <c r="F243" s="22">
        <v>5.0</v>
      </c>
      <c r="G243" s="9" t="str">
        <f t="shared" ref="G243:H243" si="34">"[" &amp;E243&amp;","&amp;E244&amp;","&amp;E245&amp;","&amp;E246&amp;","&amp;E247&amp; "]"</f>
        <v>[30,35,40,45,50]</v>
      </c>
      <c r="H243" s="9" t="str">
        <f t="shared" si="34"/>
        <v>[5,8,14,20,30]</v>
      </c>
    </row>
    <row r="244">
      <c r="A244" s="21"/>
      <c r="B244" s="22">
        <v>2.0</v>
      </c>
      <c r="C244" s="23" t="s">
        <v>234</v>
      </c>
      <c r="D244" s="24" t="s">
        <v>252</v>
      </c>
      <c r="E244" s="22">
        <v>35.0</v>
      </c>
      <c r="F244" s="22">
        <v>8.0</v>
      </c>
    </row>
    <row r="245">
      <c r="A245" s="21"/>
      <c r="B245" s="22">
        <v>3.0</v>
      </c>
      <c r="C245" s="23" t="s">
        <v>234</v>
      </c>
      <c r="D245" s="24" t="s">
        <v>252</v>
      </c>
      <c r="E245" s="22">
        <v>40.0</v>
      </c>
      <c r="F245" s="22">
        <v>14.0</v>
      </c>
    </row>
    <row r="246">
      <c r="A246" s="21"/>
      <c r="B246" s="22">
        <v>4.0</v>
      </c>
      <c r="C246" s="23" t="s">
        <v>234</v>
      </c>
      <c r="D246" s="24" t="s">
        <v>252</v>
      </c>
      <c r="E246" s="22">
        <v>45.0</v>
      </c>
      <c r="F246" s="22">
        <v>20.0</v>
      </c>
    </row>
    <row r="247">
      <c r="A247" s="21"/>
      <c r="B247" s="22">
        <v>5.0</v>
      </c>
      <c r="C247" s="23" t="s">
        <v>234</v>
      </c>
      <c r="D247" s="24" t="s">
        <v>252</v>
      </c>
      <c r="E247" s="22">
        <v>50.0</v>
      </c>
      <c r="F247" s="22">
        <v>30.0</v>
      </c>
    </row>
    <row r="249">
      <c r="A249" s="10" t="str">
        <f>"# 스킬 idx " &amp;A251&amp; VLOOKUP(A251,SkillData!A$2:E$459,3,FALSE)</f>
        <v># 스킬 idx 1002730027</v>
      </c>
    </row>
    <row r="250">
      <c r="A250" s="4" t="s">
        <v>224</v>
      </c>
      <c r="B250" s="4" t="s">
        <v>225</v>
      </c>
      <c r="C250" s="4" t="s">
        <v>226</v>
      </c>
      <c r="D250" s="4" t="s">
        <v>227</v>
      </c>
      <c r="E250" s="4" t="s">
        <v>228</v>
      </c>
      <c r="F250" s="4" t="s">
        <v>229</v>
      </c>
    </row>
    <row r="251">
      <c r="A251" s="22">
        <v>10027.0</v>
      </c>
      <c r="B251" s="22">
        <v>1.0</v>
      </c>
      <c r="C251" s="23" t="s">
        <v>234</v>
      </c>
      <c r="D251" s="24" t="s">
        <v>253</v>
      </c>
      <c r="E251" s="22">
        <v>30.0</v>
      </c>
      <c r="F251" s="22">
        <v>5.0</v>
      </c>
      <c r="G251" s="9" t="str">
        <f t="shared" ref="G251:H251" si="35">"[" &amp;E251&amp;","&amp;E252&amp;","&amp;E253&amp;","&amp;E254&amp;","&amp;E255&amp; "]"</f>
        <v>[30,35,40,45,50]</v>
      </c>
      <c r="H251" s="9" t="str">
        <f t="shared" si="35"/>
        <v>[5,8,14,20,30]</v>
      </c>
    </row>
    <row r="252">
      <c r="A252" s="21"/>
      <c r="B252" s="22">
        <v>2.0</v>
      </c>
      <c r="C252" s="23" t="s">
        <v>234</v>
      </c>
      <c r="D252" s="24" t="s">
        <v>253</v>
      </c>
      <c r="E252" s="22">
        <v>35.0</v>
      </c>
      <c r="F252" s="22">
        <v>8.0</v>
      </c>
    </row>
    <row r="253">
      <c r="A253" s="21"/>
      <c r="B253" s="22">
        <v>3.0</v>
      </c>
      <c r="C253" s="23" t="s">
        <v>234</v>
      </c>
      <c r="D253" s="24" t="s">
        <v>253</v>
      </c>
      <c r="E253" s="22">
        <v>40.0</v>
      </c>
      <c r="F253" s="22">
        <v>14.0</v>
      </c>
    </row>
    <row r="254">
      <c r="A254" s="21"/>
      <c r="B254" s="22">
        <v>4.0</v>
      </c>
      <c r="C254" s="23" t="s">
        <v>234</v>
      </c>
      <c r="D254" s="24" t="s">
        <v>253</v>
      </c>
      <c r="E254" s="22">
        <v>45.0</v>
      </c>
      <c r="F254" s="22">
        <v>20.0</v>
      </c>
    </row>
    <row r="255">
      <c r="A255" s="21"/>
      <c r="B255" s="22">
        <v>5.0</v>
      </c>
      <c r="C255" s="23" t="s">
        <v>234</v>
      </c>
      <c r="D255" s="24" t="s">
        <v>253</v>
      </c>
      <c r="E255" s="22">
        <v>50.0</v>
      </c>
      <c r="F255" s="22">
        <v>30.0</v>
      </c>
    </row>
    <row r="257">
      <c r="A257" s="10" t="str">
        <f>"# 스킬 idx " &amp;A259&amp; VLOOKUP(A259,SkillData!A$2:E$459,3,FALSE)</f>
        <v># 스킬 idx 1002830028</v>
      </c>
    </row>
    <row r="258">
      <c r="A258" s="4" t="s">
        <v>224</v>
      </c>
      <c r="B258" s="4" t="s">
        <v>225</v>
      </c>
      <c r="C258" s="4" t="s">
        <v>226</v>
      </c>
      <c r="D258" s="4" t="s">
        <v>227</v>
      </c>
      <c r="E258" s="4" t="s">
        <v>228</v>
      </c>
      <c r="F258" s="4" t="s">
        <v>229</v>
      </c>
    </row>
    <row r="259">
      <c r="A259" s="22">
        <v>10028.0</v>
      </c>
      <c r="B259" s="22">
        <v>1.0</v>
      </c>
      <c r="C259" s="23" t="s">
        <v>234</v>
      </c>
      <c r="D259" s="24" t="s">
        <v>253</v>
      </c>
      <c r="E259" s="22">
        <v>50.0</v>
      </c>
      <c r="F259" s="22">
        <v>10.0</v>
      </c>
      <c r="G259" s="9" t="str">
        <f t="shared" ref="G259:H259" si="36">"[" &amp;E259&amp;","&amp;E260&amp;","&amp;E261&amp;","&amp;E262&amp;","&amp;E263&amp; "]"</f>
        <v>[50,55,60,65,70]</v>
      </c>
      <c r="H259" s="9" t="str">
        <f t="shared" si="36"/>
        <v>[10,16,22,34,50]</v>
      </c>
    </row>
    <row r="260">
      <c r="A260" s="21"/>
      <c r="B260" s="22">
        <v>2.0</v>
      </c>
      <c r="C260" s="23" t="s">
        <v>234</v>
      </c>
      <c r="D260" s="24" t="s">
        <v>253</v>
      </c>
      <c r="E260" s="22">
        <v>55.0</v>
      </c>
      <c r="F260" s="22">
        <v>16.0</v>
      </c>
    </row>
    <row r="261">
      <c r="A261" s="21"/>
      <c r="B261" s="22">
        <v>3.0</v>
      </c>
      <c r="C261" s="23" t="s">
        <v>234</v>
      </c>
      <c r="D261" s="24" t="s">
        <v>253</v>
      </c>
      <c r="E261" s="22">
        <v>60.0</v>
      </c>
      <c r="F261" s="22">
        <v>22.0</v>
      </c>
    </row>
    <row r="262">
      <c r="A262" s="21"/>
      <c r="B262" s="22">
        <v>4.0</v>
      </c>
      <c r="C262" s="23" t="s">
        <v>234</v>
      </c>
      <c r="D262" s="24" t="s">
        <v>253</v>
      </c>
      <c r="E262" s="22">
        <v>65.0</v>
      </c>
      <c r="F262" s="22">
        <v>34.0</v>
      </c>
    </row>
    <row r="263">
      <c r="A263" s="21"/>
      <c r="B263" s="22">
        <v>5.0</v>
      </c>
      <c r="C263" s="23" t="s">
        <v>234</v>
      </c>
      <c r="D263" s="24" t="s">
        <v>253</v>
      </c>
      <c r="E263" s="22">
        <v>70.0</v>
      </c>
      <c r="F263" s="22">
        <v>50.0</v>
      </c>
    </row>
    <row r="265">
      <c r="A265" s="10" t="str">
        <f>"# 스킬 idx " &amp;A267&amp; VLOOKUP(A267,SkillData!A$2:E$459,3,FALSE)</f>
        <v># 스킬 idx 1002930029</v>
      </c>
    </row>
    <row r="266">
      <c r="A266" s="4" t="s">
        <v>224</v>
      </c>
      <c r="B266" s="4" t="s">
        <v>225</v>
      </c>
      <c r="C266" s="4" t="s">
        <v>226</v>
      </c>
      <c r="D266" s="4" t="s">
        <v>227</v>
      </c>
      <c r="E266" s="4" t="s">
        <v>228</v>
      </c>
      <c r="F266" s="4" t="s">
        <v>229</v>
      </c>
    </row>
    <row r="267">
      <c r="A267" s="22">
        <v>10029.0</v>
      </c>
      <c r="B267" s="22">
        <v>1.0</v>
      </c>
      <c r="C267" s="23" t="s">
        <v>234</v>
      </c>
      <c r="D267" s="24" t="s">
        <v>253</v>
      </c>
      <c r="E267" s="22">
        <v>0.0</v>
      </c>
      <c r="F267" s="22">
        <v>10.0</v>
      </c>
      <c r="G267" s="9" t="str">
        <f t="shared" ref="G267:H267" si="37">"[" &amp;E267&amp;","&amp;E268&amp;","&amp;E269&amp;","&amp;E270&amp;","&amp;E271&amp; "]"</f>
        <v>[0,0,0,0,0]</v>
      </c>
      <c r="H267" s="9" t="str">
        <f t="shared" si="37"/>
        <v>[10,16,22,34,50]</v>
      </c>
    </row>
    <row r="268">
      <c r="A268" s="21"/>
      <c r="B268" s="22">
        <v>2.0</v>
      </c>
      <c r="C268" s="23" t="s">
        <v>234</v>
      </c>
      <c r="D268" s="24" t="s">
        <v>253</v>
      </c>
      <c r="E268" s="22">
        <v>0.0</v>
      </c>
      <c r="F268" s="22">
        <v>16.0</v>
      </c>
    </row>
    <row r="269">
      <c r="A269" s="21"/>
      <c r="B269" s="22">
        <v>3.0</v>
      </c>
      <c r="C269" s="23" t="s">
        <v>234</v>
      </c>
      <c r="D269" s="24" t="s">
        <v>253</v>
      </c>
      <c r="E269" s="22">
        <v>0.0</v>
      </c>
      <c r="F269" s="22">
        <v>22.0</v>
      </c>
    </row>
    <row r="270">
      <c r="A270" s="21"/>
      <c r="B270" s="22">
        <v>4.0</v>
      </c>
      <c r="C270" s="23" t="s">
        <v>234</v>
      </c>
      <c r="D270" s="24" t="s">
        <v>253</v>
      </c>
      <c r="E270" s="22">
        <v>0.0</v>
      </c>
      <c r="F270" s="22">
        <v>34.0</v>
      </c>
    </row>
    <row r="271">
      <c r="A271" s="21"/>
      <c r="B271" s="22">
        <v>5.0</v>
      </c>
      <c r="C271" s="23" t="s">
        <v>234</v>
      </c>
      <c r="D271" s="24" t="s">
        <v>253</v>
      </c>
      <c r="E271" s="22">
        <v>0.0</v>
      </c>
      <c r="F271" s="22">
        <v>50.0</v>
      </c>
    </row>
    <row r="272">
      <c r="A272" s="22">
        <f>A267+10000</f>
        <v>20029</v>
      </c>
      <c r="B272" s="22">
        <v>1.0</v>
      </c>
      <c r="C272" s="23" t="s">
        <v>230</v>
      </c>
      <c r="D272" s="24" t="s">
        <v>236</v>
      </c>
      <c r="E272" s="22">
        <v>0.0</v>
      </c>
      <c r="F272" s="22">
        <v>5.0</v>
      </c>
      <c r="G272" s="9" t="str">
        <f t="shared" ref="G272:H272" si="38">"[" &amp;E272&amp;","&amp;E273&amp;","&amp;E274&amp;","&amp;E275&amp;","&amp;E276&amp; "]"</f>
        <v>[0,0,0,0,0]</v>
      </c>
      <c r="H272" s="9" t="str">
        <f t="shared" si="38"/>
        <v>[5,8,11,18,25]</v>
      </c>
    </row>
    <row r="273">
      <c r="A273" s="21"/>
      <c r="B273" s="22">
        <v>2.0</v>
      </c>
      <c r="C273" s="23" t="s">
        <v>230</v>
      </c>
      <c r="D273" s="24" t="s">
        <v>236</v>
      </c>
      <c r="E273" s="22">
        <v>0.0</v>
      </c>
      <c r="F273" s="22">
        <v>8.0</v>
      </c>
    </row>
    <row r="274">
      <c r="A274" s="21"/>
      <c r="B274" s="22">
        <v>3.0</v>
      </c>
      <c r="C274" s="23" t="s">
        <v>230</v>
      </c>
      <c r="D274" s="24" t="s">
        <v>236</v>
      </c>
      <c r="E274" s="22">
        <v>0.0</v>
      </c>
      <c r="F274" s="22">
        <v>11.0</v>
      </c>
    </row>
    <row r="275" ht="15.75" customHeight="1">
      <c r="A275" s="21"/>
      <c r="B275" s="22">
        <v>4.0</v>
      </c>
      <c r="C275" s="23" t="s">
        <v>230</v>
      </c>
      <c r="D275" s="24" t="s">
        <v>236</v>
      </c>
      <c r="E275" s="22">
        <v>0.0</v>
      </c>
      <c r="F275" s="22">
        <v>18.0</v>
      </c>
    </row>
    <row r="276">
      <c r="A276" s="21"/>
      <c r="B276" s="22">
        <v>5.0</v>
      </c>
      <c r="C276" s="23" t="s">
        <v>230</v>
      </c>
      <c r="D276" s="24" t="s">
        <v>236</v>
      </c>
      <c r="E276" s="22">
        <v>0.0</v>
      </c>
      <c r="F276" s="22">
        <v>25.0</v>
      </c>
    </row>
    <row r="278">
      <c r="A278" s="10" t="str">
        <f>"# 스킬 idx " &amp;A280&amp; VLOOKUP(A280,SkillData!A$2:E$459,3,FALSE)</f>
        <v># 스킬 idx 1003030030</v>
      </c>
    </row>
    <row r="279">
      <c r="A279" s="4" t="s">
        <v>224</v>
      </c>
      <c r="B279" s="4" t="s">
        <v>225</v>
      </c>
      <c r="C279" s="4" t="s">
        <v>226</v>
      </c>
      <c r="D279" s="4" t="s">
        <v>227</v>
      </c>
      <c r="E279" s="4" t="s">
        <v>228</v>
      </c>
      <c r="F279" s="4" t="s">
        <v>229</v>
      </c>
    </row>
    <row r="280">
      <c r="A280" s="22">
        <v>10030.0</v>
      </c>
      <c r="B280" s="22">
        <v>1.0</v>
      </c>
      <c r="C280" s="23" t="s">
        <v>230</v>
      </c>
      <c r="D280" s="24" t="s">
        <v>254</v>
      </c>
      <c r="E280" s="22">
        <v>30.0</v>
      </c>
      <c r="F280" s="22">
        <v>5.0</v>
      </c>
      <c r="G280" s="9" t="str">
        <f t="shared" ref="G280:H280" si="39">"[" &amp;E280&amp;","&amp;E281&amp;","&amp;E282&amp;","&amp;E283&amp;","&amp;E284&amp; "]"</f>
        <v>[30,35,40,45,50]</v>
      </c>
      <c r="H280" s="9" t="str">
        <f t="shared" si="39"/>
        <v>[5,8,14,20,30]</v>
      </c>
    </row>
    <row r="281">
      <c r="A281" s="21"/>
      <c r="B281" s="22">
        <v>2.0</v>
      </c>
      <c r="C281" s="23" t="s">
        <v>230</v>
      </c>
      <c r="D281" s="24" t="s">
        <v>254</v>
      </c>
      <c r="E281" s="22">
        <v>35.0</v>
      </c>
      <c r="F281" s="22">
        <v>8.0</v>
      </c>
    </row>
    <row r="282">
      <c r="A282" s="21"/>
      <c r="B282" s="22">
        <v>3.0</v>
      </c>
      <c r="C282" s="23" t="s">
        <v>230</v>
      </c>
      <c r="D282" s="24" t="s">
        <v>254</v>
      </c>
      <c r="E282" s="22">
        <v>40.0</v>
      </c>
      <c r="F282" s="22">
        <v>14.0</v>
      </c>
    </row>
    <row r="283">
      <c r="A283" s="21"/>
      <c r="B283" s="22">
        <v>4.0</v>
      </c>
      <c r="C283" s="23" t="s">
        <v>230</v>
      </c>
      <c r="D283" s="24" t="s">
        <v>254</v>
      </c>
      <c r="E283" s="22">
        <v>45.0</v>
      </c>
      <c r="F283" s="22">
        <v>20.0</v>
      </c>
    </row>
    <row r="284">
      <c r="A284" s="21"/>
      <c r="B284" s="22">
        <v>5.0</v>
      </c>
      <c r="C284" s="23" t="s">
        <v>230</v>
      </c>
      <c r="D284" s="24" t="s">
        <v>254</v>
      </c>
      <c r="E284" s="22">
        <v>50.0</v>
      </c>
      <c r="F284" s="22">
        <v>30.0</v>
      </c>
    </row>
    <row r="286">
      <c r="A286" s="10" t="str">
        <f>"# 스킬 idx " &amp;A288&amp; VLOOKUP(A288,SkillData!A$2:E$459,3,FALSE)</f>
        <v># 스킬 idx 1003130031</v>
      </c>
    </row>
    <row r="287">
      <c r="A287" s="4" t="s">
        <v>224</v>
      </c>
      <c r="B287" s="4" t="s">
        <v>225</v>
      </c>
      <c r="C287" s="4" t="s">
        <v>226</v>
      </c>
      <c r="D287" s="4" t="s">
        <v>227</v>
      </c>
      <c r="E287" s="4" t="s">
        <v>228</v>
      </c>
      <c r="F287" s="4" t="s">
        <v>229</v>
      </c>
    </row>
    <row r="288">
      <c r="A288" s="22">
        <v>10031.0</v>
      </c>
      <c r="B288" s="22">
        <v>1.0</v>
      </c>
      <c r="C288" s="23" t="s">
        <v>230</v>
      </c>
      <c r="D288" s="24" t="s">
        <v>254</v>
      </c>
      <c r="E288" s="22">
        <v>50.0</v>
      </c>
      <c r="F288" s="22">
        <v>10.0</v>
      </c>
      <c r="G288" s="9" t="str">
        <f t="shared" ref="G288:H288" si="40">"[" &amp;E288&amp;","&amp;E289&amp;","&amp;E290&amp;","&amp;E291&amp;","&amp;E292&amp; "]"</f>
        <v>[50,55,60,65,70]</v>
      </c>
      <c r="H288" s="9" t="str">
        <f t="shared" si="40"/>
        <v>[10,16,22,34,50]</v>
      </c>
    </row>
    <row r="289">
      <c r="A289" s="21"/>
      <c r="B289" s="22">
        <v>2.0</v>
      </c>
      <c r="C289" s="23" t="s">
        <v>230</v>
      </c>
      <c r="D289" s="24" t="s">
        <v>254</v>
      </c>
      <c r="E289" s="22">
        <v>55.0</v>
      </c>
      <c r="F289" s="22">
        <v>16.0</v>
      </c>
    </row>
    <row r="290">
      <c r="A290" s="21"/>
      <c r="B290" s="22">
        <v>3.0</v>
      </c>
      <c r="C290" s="23" t="s">
        <v>230</v>
      </c>
      <c r="D290" s="24" t="s">
        <v>254</v>
      </c>
      <c r="E290" s="22">
        <v>60.0</v>
      </c>
      <c r="F290" s="22">
        <v>22.0</v>
      </c>
    </row>
    <row r="291">
      <c r="A291" s="21"/>
      <c r="B291" s="22">
        <v>4.0</v>
      </c>
      <c r="C291" s="23" t="s">
        <v>230</v>
      </c>
      <c r="D291" s="24" t="s">
        <v>254</v>
      </c>
      <c r="E291" s="22">
        <v>65.0</v>
      </c>
      <c r="F291" s="22">
        <v>34.0</v>
      </c>
    </row>
    <row r="292">
      <c r="A292" s="21"/>
      <c r="B292" s="22">
        <v>5.0</v>
      </c>
      <c r="C292" s="23" t="s">
        <v>230</v>
      </c>
      <c r="D292" s="24" t="s">
        <v>254</v>
      </c>
      <c r="E292" s="22">
        <v>70.0</v>
      </c>
      <c r="F292" s="22">
        <v>50.0</v>
      </c>
    </row>
    <row r="294">
      <c r="A294" s="10" t="str">
        <f>"# 스킬 idx " &amp;A296&amp; VLOOKUP(A296,SkillData!A$2:E$459,3,FALSE)</f>
        <v># 스킬 idx 1003230032</v>
      </c>
    </row>
    <row r="295">
      <c r="A295" s="4" t="s">
        <v>224</v>
      </c>
      <c r="B295" s="4" t="s">
        <v>225</v>
      </c>
      <c r="C295" s="4" t="s">
        <v>226</v>
      </c>
      <c r="D295" s="4" t="s">
        <v>227</v>
      </c>
      <c r="E295" s="4" t="s">
        <v>228</v>
      </c>
      <c r="F295" s="4" t="s">
        <v>229</v>
      </c>
    </row>
    <row r="296">
      <c r="A296" s="22">
        <v>10032.0</v>
      </c>
      <c r="B296" s="22">
        <v>1.0</v>
      </c>
      <c r="C296" s="23" t="s">
        <v>230</v>
      </c>
      <c r="D296" s="24" t="s">
        <v>254</v>
      </c>
      <c r="E296" s="22">
        <v>0.0</v>
      </c>
      <c r="F296" s="22">
        <v>10.0</v>
      </c>
      <c r="G296" s="9" t="str">
        <f t="shared" ref="G296:H296" si="41">"[" &amp;E296&amp;","&amp;E297&amp;","&amp;E298&amp;","&amp;E299&amp;","&amp;E300&amp; "]"</f>
        <v>[0,0,0,0,0]</v>
      </c>
      <c r="H296" s="9" t="str">
        <f t="shared" si="41"/>
        <v>[10,16,22,34,50]</v>
      </c>
    </row>
    <row r="297">
      <c r="A297" s="21"/>
      <c r="B297" s="22">
        <v>2.0</v>
      </c>
      <c r="C297" s="23" t="s">
        <v>230</v>
      </c>
      <c r="D297" s="24" t="s">
        <v>254</v>
      </c>
      <c r="E297" s="22">
        <v>0.0</v>
      </c>
      <c r="F297" s="22">
        <v>16.0</v>
      </c>
    </row>
    <row r="298">
      <c r="A298" s="21"/>
      <c r="B298" s="22">
        <v>3.0</v>
      </c>
      <c r="C298" s="23" t="s">
        <v>230</v>
      </c>
      <c r="D298" s="24" t="s">
        <v>254</v>
      </c>
      <c r="E298" s="22">
        <v>0.0</v>
      </c>
      <c r="F298" s="22">
        <v>22.0</v>
      </c>
    </row>
    <row r="299">
      <c r="A299" s="21"/>
      <c r="B299" s="22">
        <v>4.0</v>
      </c>
      <c r="C299" s="23" t="s">
        <v>230</v>
      </c>
      <c r="D299" s="24" t="s">
        <v>254</v>
      </c>
      <c r="E299" s="22">
        <v>0.0</v>
      </c>
      <c r="F299" s="22">
        <v>34.0</v>
      </c>
    </row>
    <row r="300">
      <c r="A300" s="21"/>
      <c r="B300" s="22">
        <v>5.0</v>
      </c>
      <c r="C300" s="23" t="s">
        <v>230</v>
      </c>
      <c r="D300" s="24" t="s">
        <v>254</v>
      </c>
      <c r="E300" s="22">
        <v>0.0</v>
      </c>
      <c r="F300" s="22">
        <v>50.0</v>
      </c>
    </row>
    <row r="301">
      <c r="A301" s="22">
        <f>A296+10000</f>
        <v>20032</v>
      </c>
      <c r="B301" s="22">
        <v>1.0</v>
      </c>
      <c r="C301" s="23" t="s">
        <v>242</v>
      </c>
      <c r="D301" s="24" t="s">
        <v>236</v>
      </c>
      <c r="E301" s="22">
        <v>0.0</v>
      </c>
      <c r="F301" s="22">
        <v>30000.0</v>
      </c>
      <c r="G301" s="9" t="str">
        <f t="shared" ref="G301:H301" si="42">"[" &amp;E301&amp;","&amp;E302&amp;","&amp;E303&amp;","&amp;E304&amp;","&amp;E305&amp; "]"</f>
        <v>[0,0,0,0,0]</v>
      </c>
      <c r="H301" s="9" t="str">
        <f t="shared" si="42"/>
        <v>[30000,50000,70000,100000,150000]</v>
      </c>
    </row>
    <row r="302">
      <c r="A302" s="21"/>
      <c r="B302" s="22">
        <v>2.0</v>
      </c>
      <c r="C302" s="23" t="s">
        <v>242</v>
      </c>
      <c r="D302" s="24" t="s">
        <v>236</v>
      </c>
      <c r="E302" s="22">
        <v>0.0</v>
      </c>
      <c r="F302" s="22">
        <v>50000.0</v>
      </c>
    </row>
    <row r="303">
      <c r="A303" s="21"/>
      <c r="B303" s="22">
        <v>3.0</v>
      </c>
      <c r="C303" s="23" t="s">
        <v>242</v>
      </c>
      <c r="D303" s="24" t="s">
        <v>236</v>
      </c>
      <c r="E303" s="22">
        <v>0.0</v>
      </c>
      <c r="F303" s="22">
        <v>70000.0</v>
      </c>
    </row>
    <row r="304" ht="15.75" customHeight="1">
      <c r="A304" s="21"/>
      <c r="B304" s="22">
        <v>4.0</v>
      </c>
      <c r="C304" s="23" t="s">
        <v>242</v>
      </c>
      <c r="D304" s="24" t="s">
        <v>236</v>
      </c>
      <c r="E304" s="22">
        <v>0.0</v>
      </c>
      <c r="F304" s="22">
        <v>100000.0</v>
      </c>
    </row>
    <row r="305">
      <c r="A305" s="21"/>
      <c r="B305" s="22">
        <v>5.0</v>
      </c>
      <c r="C305" s="23" t="s">
        <v>242</v>
      </c>
      <c r="D305" s="24" t="s">
        <v>236</v>
      </c>
      <c r="E305" s="22">
        <v>0.0</v>
      </c>
      <c r="F305" s="22">
        <v>150000.0</v>
      </c>
    </row>
    <row r="307">
      <c r="A307" s="10" t="str">
        <f>"# 스킬 idx " &amp;A309&amp; VLOOKUP(A309,SkillData!A$2:E$459,3,FALSE)</f>
        <v># 스킬 idx 1003330033</v>
      </c>
    </row>
    <row r="308">
      <c r="A308" s="4" t="s">
        <v>224</v>
      </c>
      <c r="B308" s="4" t="s">
        <v>225</v>
      </c>
      <c r="C308" s="4" t="s">
        <v>226</v>
      </c>
      <c r="D308" s="4" t="s">
        <v>227</v>
      </c>
      <c r="E308" s="4" t="s">
        <v>228</v>
      </c>
      <c r="F308" s="4" t="s">
        <v>229</v>
      </c>
    </row>
    <row r="309">
      <c r="A309" s="22">
        <v>10033.0</v>
      </c>
      <c r="B309" s="22">
        <v>1.0</v>
      </c>
      <c r="C309" s="23" t="s">
        <v>237</v>
      </c>
      <c r="D309" s="24" t="s">
        <v>255</v>
      </c>
      <c r="E309" s="22">
        <v>30.0</v>
      </c>
      <c r="F309" s="22">
        <v>5.0</v>
      </c>
      <c r="G309" s="9" t="str">
        <f t="shared" ref="G309:H309" si="43">"[" &amp;E309&amp;","&amp;E310&amp;","&amp;E311&amp;","&amp;E312&amp;","&amp;E313&amp; "]"</f>
        <v>[30,35,40,45,50]</v>
      </c>
      <c r="H309" s="9" t="str">
        <f t="shared" si="43"/>
        <v>[5,8,14,20,30]</v>
      </c>
    </row>
    <row r="310">
      <c r="A310" s="21"/>
      <c r="B310" s="22">
        <v>2.0</v>
      </c>
      <c r="C310" s="23" t="s">
        <v>237</v>
      </c>
      <c r="D310" s="24" t="s">
        <v>255</v>
      </c>
      <c r="E310" s="22">
        <v>35.0</v>
      </c>
      <c r="F310" s="22">
        <v>8.0</v>
      </c>
    </row>
    <row r="311">
      <c r="A311" s="21"/>
      <c r="B311" s="22">
        <v>3.0</v>
      </c>
      <c r="C311" s="23" t="s">
        <v>237</v>
      </c>
      <c r="D311" s="24" t="s">
        <v>255</v>
      </c>
      <c r="E311" s="22">
        <v>40.0</v>
      </c>
      <c r="F311" s="22">
        <v>14.0</v>
      </c>
    </row>
    <row r="312">
      <c r="A312" s="21"/>
      <c r="B312" s="22">
        <v>4.0</v>
      </c>
      <c r="C312" s="23" t="s">
        <v>237</v>
      </c>
      <c r="D312" s="24" t="s">
        <v>255</v>
      </c>
      <c r="E312" s="22">
        <v>45.0</v>
      </c>
      <c r="F312" s="22">
        <v>20.0</v>
      </c>
    </row>
    <row r="313">
      <c r="A313" s="21"/>
      <c r="B313" s="22">
        <v>5.0</v>
      </c>
      <c r="C313" s="23" t="s">
        <v>237</v>
      </c>
      <c r="D313" s="24" t="s">
        <v>255</v>
      </c>
      <c r="E313" s="22">
        <v>50.0</v>
      </c>
      <c r="F313" s="22">
        <v>30.0</v>
      </c>
    </row>
    <row r="315">
      <c r="A315" s="10" t="str">
        <f>"# 스킬 idx " &amp;A317&amp; VLOOKUP(A317,SkillData!A$2:E$459,3,FALSE)</f>
        <v># 스킬 idx 1003430034</v>
      </c>
    </row>
    <row r="316">
      <c r="A316" s="4" t="s">
        <v>224</v>
      </c>
      <c r="B316" s="4" t="s">
        <v>225</v>
      </c>
      <c r="C316" s="4" t="s">
        <v>226</v>
      </c>
      <c r="D316" s="4" t="s">
        <v>227</v>
      </c>
      <c r="E316" s="4" t="s">
        <v>228</v>
      </c>
      <c r="F316" s="4" t="s">
        <v>229</v>
      </c>
    </row>
    <row r="317">
      <c r="A317" s="22">
        <v>10034.0</v>
      </c>
      <c r="B317" s="22">
        <v>1.0</v>
      </c>
      <c r="C317" s="23" t="s">
        <v>237</v>
      </c>
      <c r="D317" s="24" t="s">
        <v>255</v>
      </c>
      <c r="E317" s="22">
        <v>50.0</v>
      </c>
      <c r="F317" s="22">
        <v>10.0</v>
      </c>
      <c r="G317" s="9" t="str">
        <f t="shared" ref="G317:H317" si="44">"[" &amp;E317&amp;","&amp;E318&amp;","&amp;E319&amp;","&amp;E320&amp;","&amp;E321&amp; "]"</f>
        <v>[50,55,60,65,70]</v>
      </c>
      <c r="H317" s="9" t="str">
        <f t="shared" si="44"/>
        <v>[10,16,22,34,50]</v>
      </c>
    </row>
    <row r="318">
      <c r="A318" s="21"/>
      <c r="B318" s="22">
        <v>2.0</v>
      </c>
      <c r="C318" s="23" t="s">
        <v>237</v>
      </c>
      <c r="D318" s="24" t="s">
        <v>255</v>
      </c>
      <c r="E318" s="22">
        <v>55.0</v>
      </c>
      <c r="F318" s="22">
        <v>16.0</v>
      </c>
    </row>
    <row r="319">
      <c r="A319" s="21"/>
      <c r="B319" s="22">
        <v>3.0</v>
      </c>
      <c r="C319" s="23" t="s">
        <v>237</v>
      </c>
      <c r="D319" s="24" t="s">
        <v>255</v>
      </c>
      <c r="E319" s="22">
        <v>60.0</v>
      </c>
      <c r="F319" s="22">
        <v>22.0</v>
      </c>
    </row>
    <row r="320">
      <c r="A320" s="21"/>
      <c r="B320" s="22">
        <v>4.0</v>
      </c>
      <c r="C320" s="23" t="s">
        <v>237</v>
      </c>
      <c r="D320" s="24" t="s">
        <v>255</v>
      </c>
      <c r="E320" s="22">
        <v>65.0</v>
      </c>
      <c r="F320" s="22">
        <v>34.0</v>
      </c>
    </row>
    <row r="321">
      <c r="A321" s="21"/>
      <c r="B321" s="22">
        <v>5.0</v>
      </c>
      <c r="C321" s="23" t="s">
        <v>237</v>
      </c>
      <c r="D321" s="24" t="s">
        <v>255</v>
      </c>
      <c r="E321" s="22">
        <v>70.0</v>
      </c>
      <c r="F321" s="22">
        <v>50.0</v>
      </c>
    </row>
    <row r="323">
      <c r="A323" s="10" t="str">
        <f>"# 스킬 idx " &amp;A325&amp; VLOOKUP(A325,SkillData!A$2:E$459,3,FALSE)</f>
        <v># 스킬 idx 1003530035</v>
      </c>
    </row>
    <row r="324">
      <c r="A324" s="4" t="s">
        <v>224</v>
      </c>
      <c r="B324" s="4" t="s">
        <v>225</v>
      </c>
      <c r="C324" s="4" t="s">
        <v>226</v>
      </c>
      <c r="D324" s="4" t="s">
        <v>227</v>
      </c>
      <c r="E324" s="4" t="s">
        <v>228</v>
      </c>
      <c r="F324" s="4" t="s">
        <v>229</v>
      </c>
    </row>
    <row r="325">
      <c r="A325" s="22">
        <v>10035.0</v>
      </c>
      <c r="B325" s="22">
        <v>1.0</v>
      </c>
      <c r="C325" s="23" t="s">
        <v>237</v>
      </c>
      <c r="D325" s="24" t="s">
        <v>255</v>
      </c>
      <c r="E325" s="22">
        <v>0.0</v>
      </c>
      <c r="F325" s="22">
        <v>10.0</v>
      </c>
      <c r="G325" s="9" t="str">
        <f t="shared" ref="G325:H325" si="45">"[" &amp;E325&amp;","&amp;E326&amp;","&amp;E327&amp;","&amp;E328&amp;","&amp;E329&amp; "]"</f>
        <v>[0,0,0,0,0]</v>
      </c>
      <c r="H325" s="9" t="str">
        <f t="shared" si="45"/>
        <v>[10,16,22,34,50]</v>
      </c>
    </row>
    <row r="326">
      <c r="A326" s="21"/>
      <c r="B326" s="22">
        <v>2.0</v>
      </c>
      <c r="C326" s="23" t="s">
        <v>237</v>
      </c>
      <c r="D326" s="24" t="s">
        <v>255</v>
      </c>
      <c r="E326" s="22">
        <v>0.0</v>
      </c>
      <c r="F326" s="22">
        <v>16.0</v>
      </c>
    </row>
    <row r="327">
      <c r="A327" s="21"/>
      <c r="B327" s="22">
        <v>3.0</v>
      </c>
      <c r="C327" s="23" t="s">
        <v>237</v>
      </c>
      <c r="D327" s="24" t="s">
        <v>255</v>
      </c>
      <c r="E327" s="22">
        <v>0.0</v>
      </c>
      <c r="F327" s="22">
        <v>22.0</v>
      </c>
    </row>
    <row r="328">
      <c r="A328" s="21"/>
      <c r="B328" s="22">
        <v>4.0</v>
      </c>
      <c r="C328" s="23" t="s">
        <v>237</v>
      </c>
      <c r="D328" s="24" t="s">
        <v>255</v>
      </c>
      <c r="E328" s="22">
        <v>0.0</v>
      </c>
      <c r="F328" s="22">
        <v>34.0</v>
      </c>
    </row>
    <row r="329">
      <c r="A329" s="21"/>
      <c r="B329" s="22">
        <v>5.0</v>
      </c>
      <c r="C329" s="23" t="s">
        <v>237</v>
      </c>
      <c r="D329" s="24" t="s">
        <v>255</v>
      </c>
      <c r="E329" s="22">
        <v>0.0</v>
      </c>
      <c r="F329" s="22">
        <v>50.0</v>
      </c>
    </row>
    <row r="330">
      <c r="A330" s="22">
        <f>A325+10000</f>
        <v>20035</v>
      </c>
      <c r="B330" s="22">
        <v>1.0</v>
      </c>
      <c r="C330" s="23" t="s">
        <v>234</v>
      </c>
      <c r="D330" s="24" t="s">
        <v>236</v>
      </c>
      <c r="E330" s="22">
        <v>0.0</v>
      </c>
      <c r="F330" s="22">
        <v>5.0</v>
      </c>
      <c r="G330" s="9" t="str">
        <f t="shared" ref="G330:H330" si="46">"[" &amp;E330&amp;","&amp;E331&amp;","&amp;E332&amp;","&amp;E333&amp;","&amp;E334&amp; "]"</f>
        <v>[0,0,0,0,0]</v>
      </c>
      <c r="H330" s="9" t="str">
        <f t="shared" si="46"/>
        <v>[5,8,11,18,25]</v>
      </c>
    </row>
    <row r="331">
      <c r="A331" s="21"/>
      <c r="B331" s="22">
        <v>2.0</v>
      </c>
      <c r="C331" s="23" t="s">
        <v>234</v>
      </c>
      <c r="D331" s="24" t="s">
        <v>236</v>
      </c>
      <c r="E331" s="22">
        <v>0.0</v>
      </c>
      <c r="F331" s="22">
        <v>8.0</v>
      </c>
    </row>
    <row r="332">
      <c r="A332" s="21"/>
      <c r="B332" s="22">
        <v>3.0</v>
      </c>
      <c r="C332" s="23" t="s">
        <v>234</v>
      </c>
      <c r="D332" s="24" t="s">
        <v>236</v>
      </c>
      <c r="E332" s="22">
        <v>0.0</v>
      </c>
      <c r="F332" s="22">
        <v>11.0</v>
      </c>
    </row>
    <row r="333" ht="15.75" customHeight="1">
      <c r="A333" s="21"/>
      <c r="B333" s="22">
        <v>4.0</v>
      </c>
      <c r="C333" s="23" t="s">
        <v>234</v>
      </c>
      <c r="D333" s="24" t="s">
        <v>236</v>
      </c>
      <c r="E333" s="22">
        <v>0.0</v>
      </c>
      <c r="F333" s="22">
        <v>18.0</v>
      </c>
    </row>
    <row r="334">
      <c r="A334" s="21"/>
      <c r="B334" s="22">
        <v>5.0</v>
      </c>
      <c r="C334" s="23" t="s">
        <v>234</v>
      </c>
      <c r="D334" s="24" t="s">
        <v>236</v>
      </c>
      <c r="E334" s="22">
        <v>0.0</v>
      </c>
      <c r="F334" s="22">
        <v>25.0</v>
      </c>
    </row>
    <row r="336">
      <c r="A336" s="10" t="str">
        <f>"# 스킬 idx " &amp;A338&amp; VLOOKUP(A338,SkillData!A$2:E$459,3,FALSE)</f>
        <v># 스킬 idx 1003630036</v>
      </c>
    </row>
    <row r="337">
      <c r="A337" s="4" t="s">
        <v>224</v>
      </c>
      <c r="B337" s="4" t="s">
        <v>225</v>
      </c>
      <c r="C337" s="4" t="s">
        <v>226</v>
      </c>
      <c r="D337" s="4" t="s">
        <v>227</v>
      </c>
      <c r="E337" s="4" t="s">
        <v>228</v>
      </c>
      <c r="F337" s="4" t="s">
        <v>229</v>
      </c>
    </row>
    <row r="338">
      <c r="A338" s="22">
        <v>10036.0</v>
      </c>
      <c r="B338" s="22">
        <v>1.0</v>
      </c>
      <c r="C338" s="23" t="s">
        <v>234</v>
      </c>
      <c r="D338" s="24" t="s">
        <v>256</v>
      </c>
      <c r="E338" s="22">
        <v>30.0</v>
      </c>
      <c r="F338" s="22">
        <v>5.0</v>
      </c>
      <c r="G338" s="9" t="str">
        <f t="shared" ref="G338:H338" si="47">"[" &amp;E338&amp;","&amp;E339&amp;","&amp;E340&amp;","&amp;E341&amp;","&amp;E342&amp; "]"</f>
        <v>[30,35,40,45,50]</v>
      </c>
      <c r="H338" s="9" t="str">
        <f t="shared" si="47"/>
        <v>[5,8,14,20,30]</v>
      </c>
    </row>
    <row r="339">
      <c r="A339" s="21"/>
      <c r="B339" s="22">
        <v>2.0</v>
      </c>
      <c r="C339" s="23" t="s">
        <v>234</v>
      </c>
      <c r="D339" s="24" t="s">
        <v>256</v>
      </c>
      <c r="E339" s="22">
        <v>35.0</v>
      </c>
      <c r="F339" s="22">
        <v>8.0</v>
      </c>
    </row>
    <row r="340">
      <c r="A340" s="21"/>
      <c r="B340" s="22">
        <v>3.0</v>
      </c>
      <c r="C340" s="23" t="s">
        <v>234</v>
      </c>
      <c r="D340" s="24" t="s">
        <v>256</v>
      </c>
      <c r="E340" s="22">
        <v>40.0</v>
      </c>
      <c r="F340" s="22">
        <v>14.0</v>
      </c>
    </row>
    <row r="341">
      <c r="A341" s="21"/>
      <c r="B341" s="22">
        <v>4.0</v>
      </c>
      <c r="C341" s="23" t="s">
        <v>234</v>
      </c>
      <c r="D341" s="24" t="s">
        <v>256</v>
      </c>
      <c r="E341" s="22">
        <v>45.0</v>
      </c>
      <c r="F341" s="22">
        <v>20.0</v>
      </c>
    </row>
    <row r="342">
      <c r="A342" s="21"/>
      <c r="B342" s="22">
        <v>5.0</v>
      </c>
      <c r="C342" s="23" t="s">
        <v>234</v>
      </c>
      <c r="D342" s="24" t="s">
        <v>256</v>
      </c>
      <c r="E342" s="22">
        <v>50.0</v>
      </c>
      <c r="F342" s="22">
        <v>30.0</v>
      </c>
    </row>
    <row r="344">
      <c r="A344" s="10" t="str">
        <f>"# 스킬 idx " &amp;A346&amp; VLOOKUP(A346,SkillData!A$2:E$459,3,FALSE)</f>
        <v># 스킬 idx 1003730037</v>
      </c>
    </row>
    <row r="345">
      <c r="A345" s="4" t="s">
        <v>224</v>
      </c>
      <c r="B345" s="4" t="s">
        <v>225</v>
      </c>
      <c r="C345" s="4" t="s">
        <v>226</v>
      </c>
      <c r="D345" s="4" t="s">
        <v>227</v>
      </c>
      <c r="E345" s="4" t="s">
        <v>228</v>
      </c>
      <c r="F345" s="4" t="s">
        <v>229</v>
      </c>
    </row>
    <row r="346">
      <c r="A346" s="22">
        <v>10037.0</v>
      </c>
      <c r="B346" s="22">
        <v>1.0</v>
      </c>
      <c r="C346" s="23" t="s">
        <v>234</v>
      </c>
      <c r="D346" s="24" t="s">
        <v>257</v>
      </c>
      <c r="E346" s="22">
        <v>0.0</v>
      </c>
      <c r="F346" s="22">
        <v>10.0</v>
      </c>
      <c r="G346" s="9" t="str">
        <f t="shared" ref="G346:H346" si="48">"[" &amp;E346&amp;","&amp;E347&amp;","&amp;E348&amp;","&amp;E349&amp;","&amp;E350&amp; "]"</f>
        <v>[0,0,0,0,0]</v>
      </c>
      <c r="H346" s="9" t="str">
        <f t="shared" si="48"/>
        <v>[10,16,22,34,50]</v>
      </c>
    </row>
    <row r="347">
      <c r="A347" s="21"/>
      <c r="B347" s="22">
        <v>2.0</v>
      </c>
      <c r="C347" s="23" t="s">
        <v>234</v>
      </c>
      <c r="D347" s="24" t="s">
        <v>257</v>
      </c>
      <c r="E347" s="22">
        <v>0.0</v>
      </c>
      <c r="F347" s="22">
        <v>16.0</v>
      </c>
    </row>
    <row r="348">
      <c r="A348" s="21"/>
      <c r="B348" s="22">
        <v>3.0</v>
      </c>
      <c r="C348" s="23" t="s">
        <v>234</v>
      </c>
      <c r="D348" s="24" t="s">
        <v>257</v>
      </c>
      <c r="E348" s="22">
        <v>0.0</v>
      </c>
      <c r="F348" s="22">
        <v>22.0</v>
      </c>
    </row>
    <row r="349">
      <c r="A349" s="21"/>
      <c r="B349" s="22">
        <v>4.0</v>
      </c>
      <c r="C349" s="23" t="s">
        <v>234</v>
      </c>
      <c r="D349" s="24" t="s">
        <v>257</v>
      </c>
      <c r="E349" s="22">
        <v>0.0</v>
      </c>
      <c r="F349" s="22">
        <v>34.0</v>
      </c>
    </row>
    <row r="350">
      <c r="A350" s="21"/>
      <c r="B350" s="22">
        <v>5.0</v>
      </c>
      <c r="C350" s="23" t="s">
        <v>234</v>
      </c>
      <c r="D350" s="24" t="s">
        <v>257</v>
      </c>
      <c r="E350" s="22">
        <v>0.0</v>
      </c>
      <c r="F350" s="22">
        <v>50.0</v>
      </c>
    </row>
    <row r="352">
      <c r="A352" s="10" t="str">
        <f>"# 스킬 idx " &amp;A354&amp; VLOOKUP(A354,SkillData!A$2:E$459,3,FALSE)</f>
        <v># 스킬 idx 1003830038</v>
      </c>
    </row>
    <row r="353">
      <c r="A353" s="4" t="s">
        <v>224</v>
      </c>
      <c r="B353" s="4" t="s">
        <v>225</v>
      </c>
      <c r="C353" s="4" t="s">
        <v>226</v>
      </c>
      <c r="D353" s="4" t="s">
        <v>227</v>
      </c>
      <c r="E353" s="4" t="s">
        <v>228</v>
      </c>
      <c r="F353" s="4" t="s">
        <v>229</v>
      </c>
    </row>
    <row r="354">
      <c r="A354" s="22">
        <v>10038.0</v>
      </c>
      <c r="B354" s="22">
        <v>1.0</v>
      </c>
      <c r="C354" s="23" t="s">
        <v>230</v>
      </c>
      <c r="D354" s="24" t="s">
        <v>258</v>
      </c>
      <c r="E354" s="22">
        <v>30.0</v>
      </c>
      <c r="F354" s="22">
        <v>5.0</v>
      </c>
      <c r="G354" s="9" t="str">
        <f t="shared" ref="G354:H354" si="49">"[" &amp;E354&amp;","&amp;E355&amp;","&amp;E356&amp;","&amp;E357&amp;","&amp;E358&amp; "]"</f>
        <v>[30,35,40,45,50]</v>
      </c>
      <c r="H354" s="9" t="str">
        <f t="shared" si="49"/>
        <v>[5,8,14,20,30]</v>
      </c>
    </row>
    <row r="355">
      <c r="A355" s="21"/>
      <c r="B355" s="22">
        <v>2.0</v>
      </c>
      <c r="C355" s="23" t="s">
        <v>230</v>
      </c>
      <c r="D355" s="24" t="s">
        <v>258</v>
      </c>
      <c r="E355" s="22">
        <v>35.0</v>
      </c>
      <c r="F355" s="22">
        <v>8.0</v>
      </c>
    </row>
    <row r="356">
      <c r="A356" s="21"/>
      <c r="B356" s="22">
        <v>3.0</v>
      </c>
      <c r="C356" s="23" t="s">
        <v>230</v>
      </c>
      <c r="D356" s="24" t="s">
        <v>258</v>
      </c>
      <c r="E356" s="22">
        <v>40.0</v>
      </c>
      <c r="F356" s="22">
        <v>14.0</v>
      </c>
    </row>
    <row r="357">
      <c r="A357" s="21"/>
      <c r="B357" s="22">
        <v>4.0</v>
      </c>
      <c r="C357" s="23" t="s">
        <v>230</v>
      </c>
      <c r="D357" s="24" t="s">
        <v>258</v>
      </c>
      <c r="E357" s="22">
        <v>45.0</v>
      </c>
      <c r="F357" s="22">
        <v>20.0</v>
      </c>
    </row>
    <row r="358">
      <c r="A358" s="21"/>
      <c r="B358" s="22">
        <v>5.0</v>
      </c>
      <c r="C358" s="23" t="s">
        <v>230</v>
      </c>
      <c r="D358" s="24" t="s">
        <v>258</v>
      </c>
      <c r="E358" s="22">
        <v>50.0</v>
      </c>
      <c r="F358" s="22">
        <v>30.0</v>
      </c>
    </row>
    <row r="360">
      <c r="A360" s="10" t="str">
        <f>"# 스킬 idx " &amp;A362&amp; VLOOKUP(A362,SkillData!A$2:E$459,3,FALSE)</f>
        <v># 스킬 idx 1003930039</v>
      </c>
    </row>
    <row r="361">
      <c r="A361" s="4" t="s">
        <v>224</v>
      </c>
      <c r="B361" s="4" t="s">
        <v>225</v>
      </c>
      <c r="C361" s="4" t="s">
        <v>226</v>
      </c>
      <c r="D361" s="4" t="s">
        <v>227</v>
      </c>
      <c r="E361" s="4" t="s">
        <v>228</v>
      </c>
      <c r="F361" s="4" t="s">
        <v>229</v>
      </c>
    </row>
    <row r="362">
      <c r="A362" s="22">
        <v>10039.0</v>
      </c>
      <c r="B362" s="22">
        <v>1.0</v>
      </c>
      <c r="C362" s="23" t="s">
        <v>230</v>
      </c>
      <c r="D362" s="24" t="s">
        <v>258</v>
      </c>
      <c r="E362" s="22">
        <v>50.0</v>
      </c>
      <c r="F362" s="22">
        <v>10.0</v>
      </c>
      <c r="G362" s="9" t="str">
        <f t="shared" ref="G362:H362" si="50">"[" &amp;E362&amp;","&amp;E363&amp;","&amp;E364&amp;","&amp;E365&amp;","&amp;E366&amp; "]"</f>
        <v>[50,55,60,65,70]</v>
      </c>
      <c r="H362" s="9" t="str">
        <f t="shared" si="50"/>
        <v>[10,16,22,34,50]</v>
      </c>
    </row>
    <row r="363">
      <c r="A363" s="21"/>
      <c r="B363" s="22">
        <v>2.0</v>
      </c>
      <c r="C363" s="23" t="s">
        <v>230</v>
      </c>
      <c r="D363" s="24" t="s">
        <v>258</v>
      </c>
      <c r="E363" s="22">
        <v>55.0</v>
      </c>
      <c r="F363" s="22">
        <v>16.0</v>
      </c>
    </row>
    <row r="364">
      <c r="A364" s="21"/>
      <c r="B364" s="22">
        <v>3.0</v>
      </c>
      <c r="C364" s="23" t="s">
        <v>230</v>
      </c>
      <c r="D364" s="24" t="s">
        <v>258</v>
      </c>
      <c r="E364" s="22">
        <v>60.0</v>
      </c>
      <c r="F364" s="22">
        <v>22.0</v>
      </c>
    </row>
    <row r="365">
      <c r="A365" s="21"/>
      <c r="B365" s="22">
        <v>4.0</v>
      </c>
      <c r="C365" s="23" t="s">
        <v>230</v>
      </c>
      <c r="D365" s="24" t="s">
        <v>258</v>
      </c>
      <c r="E365" s="22">
        <v>65.0</v>
      </c>
      <c r="F365" s="22">
        <v>34.0</v>
      </c>
    </row>
    <row r="366">
      <c r="A366" s="21"/>
      <c r="B366" s="22">
        <v>5.0</v>
      </c>
      <c r="C366" s="23" t="s">
        <v>230</v>
      </c>
      <c r="D366" s="24" t="s">
        <v>258</v>
      </c>
      <c r="E366" s="22">
        <v>70.0</v>
      </c>
      <c r="F366" s="22">
        <v>50.0</v>
      </c>
    </row>
    <row r="368">
      <c r="A368" s="10" t="str">
        <f>"# 스킬 idx " &amp;A370&amp; VLOOKUP(A370,SkillData!A$2:E$459,3,FALSE)</f>
        <v># 스킬 idx 1004030040</v>
      </c>
    </row>
    <row r="369">
      <c r="A369" s="4" t="s">
        <v>224</v>
      </c>
      <c r="B369" s="4" t="s">
        <v>225</v>
      </c>
      <c r="C369" s="4" t="s">
        <v>226</v>
      </c>
      <c r="D369" s="4" t="s">
        <v>227</v>
      </c>
      <c r="E369" s="4" t="s">
        <v>228</v>
      </c>
      <c r="F369" s="4" t="s">
        <v>229</v>
      </c>
    </row>
    <row r="370">
      <c r="A370" s="22">
        <v>10040.0</v>
      </c>
      <c r="B370" s="22">
        <v>1.0</v>
      </c>
      <c r="C370" s="23" t="s">
        <v>230</v>
      </c>
      <c r="D370" s="24" t="s">
        <v>258</v>
      </c>
      <c r="E370" s="22">
        <v>0.0</v>
      </c>
      <c r="F370" s="22">
        <v>10.0</v>
      </c>
      <c r="G370" s="9" t="str">
        <f t="shared" ref="G370:H370" si="51">"[" &amp;E370&amp;","&amp;E371&amp;","&amp;E372&amp;","&amp;E373&amp;","&amp;E374&amp; "]"</f>
        <v>[0,0,0,0,0]</v>
      </c>
      <c r="H370" s="9" t="str">
        <f t="shared" si="51"/>
        <v>[10,16,22,34,50]</v>
      </c>
    </row>
    <row r="371">
      <c r="A371" s="21"/>
      <c r="B371" s="22">
        <v>2.0</v>
      </c>
      <c r="C371" s="23" t="s">
        <v>230</v>
      </c>
      <c r="D371" s="24" t="s">
        <v>258</v>
      </c>
      <c r="E371" s="22">
        <v>0.0</v>
      </c>
      <c r="F371" s="22">
        <v>16.0</v>
      </c>
    </row>
    <row r="372">
      <c r="A372" s="21"/>
      <c r="B372" s="22">
        <v>3.0</v>
      </c>
      <c r="C372" s="23" t="s">
        <v>230</v>
      </c>
      <c r="D372" s="24" t="s">
        <v>258</v>
      </c>
      <c r="E372" s="22">
        <v>0.0</v>
      </c>
      <c r="F372" s="22">
        <v>22.0</v>
      </c>
    </row>
    <row r="373">
      <c r="A373" s="21"/>
      <c r="B373" s="22">
        <v>4.0</v>
      </c>
      <c r="C373" s="23" t="s">
        <v>230</v>
      </c>
      <c r="D373" s="24" t="s">
        <v>258</v>
      </c>
      <c r="E373" s="22">
        <v>0.0</v>
      </c>
      <c r="F373" s="22">
        <v>34.0</v>
      </c>
    </row>
    <row r="374">
      <c r="A374" s="21"/>
      <c r="B374" s="22">
        <v>5.0</v>
      </c>
      <c r="C374" s="23" t="s">
        <v>230</v>
      </c>
      <c r="D374" s="24" t="s">
        <v>258</v>
      </c>
      <c r="E374" s="22">
        <v>0.0</v>
      </c>
      <c r="F374" s="22">
        <v>50.0</v>
      </c>
    </row>
    <row r="375">
      <c r="A375" s="22">
        <f>A370+10000</f>
        <v>20040</v>
      </c>
      <c r="B375" s="22">
        <v>1.0</v>
      </c>
      <c r="C375" s="23" t="s">
        <v>237</v>
      </c>
      <c r="D375" s="24" t="s">
        <v>236</v>
      </c>
      <c r="E375" s="22">
        <v>0.0</v>
      </c>
      <c r="F375" s="22">
        <v>5.0</v>
      </c>
      <c r="G375" s="9" t="str">
        <f t="shared" ref="G375:H375" si="52">"[" &amp;E375&amp;","&amp;E376&amp;","&amp;E377&amp;","&amp;E378&amp;","&amp;E379&amp; "]"</f>
        <v>[0,0,0,0,0]</v>
      </c>
      <c r="H375" s="9" t="str">
        <f t="shared" si="52"/>
        <v>[5,8,11,18,25]</v>
      </c>
    </row>
    <row r="376">
      <c r="A376" s="21"/>
      <c r="B376" s="22">
        <v>2.0</v>
      </c>
      <c r="C376" s="23" t="s">
        <v>237</v>
      </c>
      <c r="D376" s="24" t="s">
        <v>236</v>
      </c>
      <c r="E376" s="22">
        <v>0.0</v>
      </c>
      <c r="F376" s="22">
        <v>8.0</v>
      </c>
    </row>
    <row r="377">
      <c r="A377" s="21"/>
      <c r="B377" s="22">
        <v>3.0</v>
      </c>
      <c r="C377" s="23" t="s">
        <v>237</v>
      </c>
      <c r="D377" s="24" t="s">
        <v>236</v>
      </c>
      <c r="E377" s="22">
        <v>0.0</v>
      </c>
      <c r="F377" s="22">
        <v>11.0</v>
      </c>
    </row>
    <row r="378" ht="15.75" customHeight="1">
      <c r="A378" s="21"/>
      <c r="B378" s="22">
        <v>4.0</v>
      </c>
      <c r="C378" s="23" t="s">
        <v>237</v>
      </c>
      <c r="D378" s="24" t="s">
        <v>236</v>
      </c>
      <c r="E378" s="22">
        <v>0.0</v>
      </c>
      <c r="F378" s="22">
        <v>18.0</v>
      </c>
    </row>
    <row r="379">
      <c r="A379" s="21"/>
      <c r="B379" s="22">
        <v>5.0</v>
      </c>
      <c r="C379" s="23" t="s">
        <v>237</v>
      </c>
      <c r="D379" s="24" t="s">
        <v>236</v>
      </c>
      <c r="E379" s="22">
        <v>0.0</v>
      </c>
      <c r="F379" s="22">
        <v>25.0</v>
      </c>
    </row>
    <row r="381">
      <c r="A381" s="10" t="str">
        <f>"# 스킬 idx " &amp;A383&amp; VLOOKUP(A383,SkillData!A$2:E$459,3,FALSE)</f>
        <v># 스킬 idx 1004130041</v>
      </c>
    </row>
    <row r="382">
      <c r="A382" s="4" t="s">
        <v>224</v>
      </c>
      <c r="B382" s="4" t="s">
        <v>225</v>
      </c>
      <c r="C382" s="4" t="s">
        <v>226</v>
      </c>
      <c r="D382" s="4" t="s">
        <v>227</v>
      </c>
      <c r="E382" s="4" t="s">
        <v>228</v>
      </c>
      <c r="F382" s="4" t="s">
        <v>229</v>
      </c>
    </row>
    <row r="383">
      <c r="A383" s="22">
        <v>10041.0</v>
      </c>
      <c r="B383" s="22">
        <v>1.0</v>
      </c>
      <c r="C383" s="23" t="s">
        <v>232</v>
      </c>
      <c r="D383" s="24" t="s">
        <v>259</v>
      </c>
      <c r="E383" s="22">
        <v>0.0</v>
      </c>
      <c r="F383" s="22">
        <v>30000.0</v>
      </c>
      <c r="G383" s="9" t="str">
        <f t="shared" ref="G383:H383" si="53">"[" &amp;E383&amp;","&amp;E384&amp;","&amp;E385&amp;","&amp;E386&amp;","&amp;E387&amp; "]"</f>
        <v>[0,0,0,0,0]</v>
      </c>
      <c r="H383" s="9" t="str">
        <f t="shared" si="53"/>
        <v>[30000,50000,70000,100000,150000]</v>
      </c>
    </row>
    <row r="384">
      <c r="A384" s="21"/>
      <c r="B384" s="22">
        <v>2.0</v>
      </c>
      <c r="C384" s="23" t="s">
        <v>232</v>
      </c>
      <c r="D384" s="24" t="s">
        <v>259</v>
      </c>
      <c r="E384" s="22">
        <v>0.0</v>
      </c>
      <c r="F384" s="22">
        <v>50000.0</v>
      </c>
    </row>
    <row r="385">
      <c r="A385" s="21"/>
      <c r="B385" s="22">
        <v>3.0</v>
      </c>
      <c r="C385" s="23" t="s">
        <v>232</v>
      </c>
      <c r="D385" s="24" t="s">
        <v>259</v>
      </c>
      <c r="E385" s="22">
        <v>0.0</v>
      </c>
      <c r="F385" s="22">
        <v>70000.0</v>
      </c>
    </row>
    <row r="386">
      <c r="A386" s="21"/>
      <c r="B386" s="22">
        <v>4.0</v>
      </c>
      <c r="C386" s="23" t="s">
        <v>232</v>
      </c>
      <c r="D386" s="24" t="s">
        <v>259</v>
      </c>
      <c r="E386" s="22">
        <v>0.0</v>
      </c>
      <c r="F386" s="22">
        <v>100000.0</v>
      </c>
    </row>
    <row r="387">
      <c r="A387" s="21"/>
      <c r="B387" s="22">
        <v>5.0</v>
      </c>
      <c r="C387" s="23" t="s">
        <v>232</v>
      </c>
      <c r="D387" s="24" t="s">
        <v>259</v>
      </c>
      <c r="E387" s="22">
        <v>0.0</v>
      </c>
      <c r="F387" s="22">
        <v>150000.0</v>
      </c>
    </row>
    <row r="389">
      <c r="A389" s="10" t="str">
        <f>"# 스킬 idx " &amp;A391&amp; VLOOKUP(A391,SkillData!A$2:E$459,3,FALSE)</f>
        <v># 스킬 idx 1004230042</v>
      </c>
    </row>
    <row r="390">
      <c r="A390" s="4" t="s">
        <v>224</v>
      </c>
      <c r="B390" s="4" t="s">
        <v>225</v>
      </c>
      <c r="C390" s="4" t="s">
        <v>226</v>
      </c>
      <c r="D390" s="4" t="s">
        <v>227</v>
      </c>
      <c r="E390" s="4" t="s">
        <v>228</v>
      </c>
      <c r="F390" s="4" t="s">
        <v>229</v>
      </c>
    </row>
    <row r="391">
      <c r="A391" s="22">
        <v>10042.0</v>
      </c>
      <c r="B391" s="22">
        <v>1.0</v>
      </c>
      <c r="C391" s="23" t="s">
        <v>237</v>
      </c>
      <c r="D391" s="24" t="s">
        <v>260</v>
      </c>
      <c r="E391" s="22">
        <v>30.0</v>
      </c>
      <c r="F391" s="22">
        <v>5.0</v>
      </c>
      <c r="G391" s="9" t="str">
        <f t="shared" ref="G391:H391" si="54">"[" &amp;E391&amp;","&amp;E392&amp;","&amp;E393&amp;","&amp;E394&amp;","&amp;E395&amp; "]"</f>
        <v>[30,35,40,45,50]</v>
      </c>
      <c r="H391" s="9" t="str">
        <f t="shared" si="54"/>
        <v>[5,8,14,20,30]</v>
      </c>
    </row>
    <row r="392">
      <c r="A392" s="21"/>
      <c r="B392" s="22">
        <v>2.0</v>
      </c>
      <c r="C392" s="23" t="s">
        <v>237</v>
      </c>
      <c r="D392" s="24" t="s">
        <v>260</v>
      </c>
      <c r="E392" s="22">
        <v>35.0</v>
      </c>
      <c r="F392" s="22">
        <v>8.0</v>
      </c>
    </row>
    <row r="393">
      <c r="A393" s="21"/>
      <c r="B393" s="22">
        <v>3.0</v>
      </c>
      <c r="C393" s="23" t="s">
        <v>237</v>
      </c>
      <c r="D393" s="24" t="s">
        <v>260</v>
      </c>
      <c r="E393" s="22">
        <v>40.0</v>
      </c>
      <c r="F393" s="22">
        <v>14.0</v>
      </c>
    </row>
    <row r="394">
      <c r="A394" s="21"/>
      <c r="B394" s="22">
        <v>4.0</v>
      </c>
      <c r="C394" s="23" t="s">
        <v>237</v>
      </c>
      <c r="D394" s="24" t="s">
        <v>260</v>
      </c>
      <c r="E394" s="22">
        <v>45.0</v>
      </c>
      <c r="F394" s="22">
        <v>20.0</v>
      </c>
    </row>
    <row r="395">
      <c r="A395" s="21"/>
      <c r="B395" s="22">
        <v>5.0</v>
      </c>
      <c r="C395" s="23" t="s">
        <v>237</v>
      </c>
      <c r="D395" s="24" t="s">
        <v>260</v>
      </c>
      <c r="E395" s="22">
        <v>50.0</v>
      </c>
      <c r="F395" s="22">
        <v>30.0</v>
      </c>
    </row>
    <row r="397">
      <c r="A397" s="10" t="str">
        <f>"# 스킬 idx " &amp;A399&amp; VLOOKUP(A399,SkillData!A$2:E$459,3,FALSE)</f>
        <v># 스킬 idx 1004330043</v>
      </c>
    </row>
    <row r="398">
      <c r="A398" s="4" t="s">
        <v>224</v>
      </c>
      <c r="B398" s="4" t="s">
        <v>225</v>
      </c>
      <c r="C398" s="4" t="s">
        <v>226</v>
      </c>
      <c r="D398" s="4" t="s">
        <v>227</v>
      </c>
      <c r="E398" s="4" t="s">
        <v>228</v>
      </c>
      <c r="F398" s="4" t="s">
        <v>229</v>
      </c>
    </row>
    <row r="399">
      <c r="A399" s="22">
        <v>10043.0</v>
      </c>
      <c r="B399" s="22">
        <v>1.0</v>
      </c>
      <c r="C399" s="23" t="s">
        <v>237</v>
      </c>
      <c r="D399" s="24" t="s">
        <v>261</v>
      </c>
      <c r="E399" s="22">
        <v>0.0</v>
      </c>
      <c r="F399" s="22">
        <v>10.0</v>
      </c>
      <c r="G399" s="9" t="str">
        <f t="shared" ref="G399:H399" si="55">"[" &amp;E399&amp;","&amp;E400&amp;","&amp;E401&amp;","&amp;E402&amp;","&amp;E403&amp; "]"</f>
        <v>[0,0,0,0,0]</v>
      </c>
      <c r="H399" s="9" t="str">
        <f t="shared" si="55"/>
        <v>[10,16,22,34,50]</v>
      </c>
    </row>
    <row r="400">
      <c r="A400" s="21"/>
      <c r="B400" s="22">
        <v>2.0</v>
      </c>
      <c r="C400" s="23" t="s">
        <v>237</v>
      </c>
      <c r="D400" s="24" t="s">
        <v>261</v>
      </c>
      <c r="E400" s="22">
        <v>0.0</v>
      </c>
      <c r="F400" s="22">
        <v>16.0</v>
      </c>
    </row>
    <row r="401">
      <c r="A401" s="21"/>
      <c r="B401" s="22">
        <v>3.0</v>
      </c>
      <c r="C401" s="23" t="s">
        <v>237</v>
      </c>
      <c r="D401" s="24" t="s">
        <v>261</v>
      </c>
      <c r="E401" s="22">
        <v>0.0</v>
      </c>
      <c r="F401" s="22">
        <v>22.0</v>
      </c>
    </row>
    <row r="402">
      <c r="A402" s="21"/>
      <c r="B402" s="22">
        <v>4.0</v>
      </c>
      <c r="C402" s="23" t="s">
        <v>237</v>
      </c>
      <c r="D402" s="24" t="s">
        <v>261</v>
      </c>
      <c r="E402" s="22">
        <v>0.0</v>
      </c>
      <c r="F402" s="22">
        <v>34.0</v>
      </c>
    </row>
    <row r="403">
      <c r="A403" s="21"/>
      <c r="B403" s="22">
        <v>5.0</v>
      </c>
      <c r="C403" s="23" t="s">
        <v>237</v>
      </c>
      <c r="D403" s="24" t="s">
        <v>261</v>
      </c>
      <c r="E403" s="22">
        <v>0.0</v>
      </c>
      <c r="F403" s="22">
        <v>50.0</v>
      </c>
    </row>
    <row r="405">
      <c r="A405" s="10" t="str">
        <f>"# 스킬 idx " &amp;A407&amp; VLOOKUP(A407,SkillData!A$2:E$459,3,FALSE)</f>
        <v># 스킬 idx 1004430044</v>
      </c>
    </row>
    <row r="406">
      <c r="A406" s="4" t="s">
        <v>224</v>
      </c>
      <c r="B406" s="4" t="s">
        <v>225</v>
      </c>
      <c r="C406" s="4" t="s">
        <v>226</v>
      </c>
      <c r="D406" s="4" t="s">
        <v>227</v>
      </c>
      <c r="E406" s="4" t="s">
        <v>228</v>
      </c>
      <c r="F406" s="4" t="s">
        <v>229</v>
      </c>
    </row>
    <row r="407">
      <c r="A407" s="22">
        <v>10044.0</v>
      </c>
      <c r="B407" s="22">
        <v>1.0</v>
      </c>
      <c r="C407" s="23" t="s">
        <v>230</v>
      </c>
      <c r="D407" s="24" t="s">
        <v>262</v>
      </c>
      <c r="E407" s="22">
        <v>30.0</v>
      </c>
      <c r="F407" s="22">
        <v>5.0</v>
      </c>
      <c r="G407" s="9" t="str">
        <f t="shared" ref="G407:H407" si="56">"[" &amp;E407&amp;","&amp;E408&amp;","&amp;E409&amp;","&amp;E410&amp;","&amp;E411&amp; "]"</f>
        <v>[30,35,40,45,50]</v>
      </c>
      <c r="H407" s="9" t="str">
        <f t="shared" si="56"/>
        <v>[5,8,14,20,30]</v>
      </c>
    </row>
    <row r="408">
      <c r="A408" s="21"/>
      <c r="B408" s="22">
        <v>2.0</v>
      </c>
      <c r="C408" s="23" t="s">
        <v>230</v>
      </c>
      <c r="D408" s="24" t="s">
        <v>262</v>
      </c>
      <c r="E408" s="22">
        <v>35.0</v>
      </c>
      <c r="F408" s="22">
        <v>8.0</v>
      </c>
    </row>
    <row r="409">
      <c r="A409" s="21"/>
      <c r="B409" s="22">
        <v>3.0</v>
      </c>
      <c r="C409" s="23" t="s">
        <v>230</v>
      </c>
      <c r="D409" s="24" t="s">
        <v>262</v>
      </c>
      <c r="E409" s="22">
        <v>40.0</v>
      </c>
      <c r="F409" s="22">
        <v>14.0</v>
      </c>
    </row>
    <row r="410">
      <c r="A410" s="21"/>
      <c r="B410" s="22">
        <v>4.0</v>
      </c>
      <c r="C410" s="23" t="s">
        <v>230</v>
      </c>
      <c r="D410" s="24" t="s">
        <v>262</v>
      </c>
      <c r="E410" s="22">
        <v>45.0</v>
      </c>
      <c r="F410" s="22">
        <v>20.0</v>
      </c>
    </row>
    <row r="411">
      <c r="A411" s="21"/>
      <c r="B411" s="22">
        <v>5.0</v>
      </c>
      <c r="C411" s="23" t="s">
        <v>230</v>
      </c>
      <c r="D411" s="24" t="s">
        <v>262</v>
      </c>
      <c r="E411" s="22">
        <v>50.0</v>
      </c>
      <c r="F411" s="22">
        <v>30.0</v>
      </c>
    </row>
    <row r="413">
      <c r="A413" s="10" t="str">
        <f>"# 스킬 idx " &amp;A415&amp; VLOOKUP(A415,SkillData!A$2:E$459,3,FALSE)</f>
        <v># 스킬 idx 1004530045</v>
      </c>
    </row>
    <row r="414">
      <c r="A414" s="4" t="s">
        <v>224</v>
      </c>
      <c r="B414" s="4" t="s">
        <v>225</v>
      </c>
      <c r="C414" s="4" t="s">
        <v>226</v>
      </c>
      <c r="D414" s="4" t="s">
        <v>227</v>
      </c>
      <c r="E414" s="4" t="s">
        <v>228</v>
      </c>
      <c r="F414" s="4" t="s">
        <v>229</v>
      </c>
    </row>
    <row r="415">
      <c r="A415" s="22">
        <v>10045.0</v>
      </c>
      <c r="B415" s="22">
        <v>1.0</v>
      </c>
      <c r="C415" s="23" t="s">
        <v>230</v>
      </c>
      <c r="D415" s="24" t="s">
        <v>262</v>
      </c>
      <c r="E415" s="22">
        <v>50.0</v>
      </c>
      <c r="F415" s="22">
        <v>10.0</v>
      </c>
      <c r="G415" s="9" t="str">
        <f t="shared" ref="G415:H415" si="57">"[" &amp;E415&amp;","&amp;E416&amp;","&amp;E417&amp;","&amp;E418&amp;","&amp;E419&amp; "]"</f>
        <v>[50,55,60,65,70]</v>
      </c>
      <c r="H415" s="9" t="str">
        <f t="shared" si="57"/>
        <v>[10,16,22,34,50]</v>
      </c>
    </row>
    <row r="416">
      <c r="A416" s="21"/>
      <c r="B416" s="22">
        <v>2.0</v>
      </c>
      <c r="C416" s="23" t="s">
        <v>230</v>
      </c>
      <c r="D416" s="24" t="s">
        <v>262</v>
      </c>
      <c r="E416" s="22">
        <v>55.0</v>
      </c>
      <c r="F416" s="22">
        <v>16.0</v>
      </c>
    </row>
    <row r="417">
      <c r="A417" s="21"/>
      <c r="B417" s="22">
        <v>3.0</v>
      </c>
      <c r="C417" s="23" t="s">
        <v>230</v>
      </c>
      <c r="D417" s="24" t="s">
        <v>262</v>
      </c>
      <c r="E417" s="22">
        <v>60.0</v>
      </c>
      <c r="F417" s="22">
        <v>22.0</v>
      </c>
    </row>
    <row r="418">
      <c r="A418" s="21"/>
      <c r="B418" s="22">
        <v>4.0</v>
      </c>
      <c r="C418" s="23" t="s">
        <v>230</v>
      </c>
      <c r="D418" s="24" t="s">
        <v>262</v>
      </c>
      <c r="E418" s="22">
        <v>65.0</v>
      </c>
      <c r="F418" s="22">
        <v>34.0</v>
      </c>
    </row>
    <row r="419">
      <c r="A419" s="21"/>
      <c r="B419" s="22">
        <v>5.0</v>
      </c>
      <c r="C419" s="23" t="s">
        <v>230</v>
      </c>
      <c r="D419" s="24" t="s">
        <v>262</v>
      </c>
      <c r="E419" s="22">
        <v>70.0</v>
      </c>
      <c r="F419" s="22">
        <v>50.0</v>
      </c>
    </row>
    <row r="421">
      <c r="A421" s="10" t="str">
        <f>"# 스킬 idx " &amp;A423&amp; VLOOKUP(A423,SkillData!A$2:E$459,3,FALSE)</f>
        <v># 스킬 idx 1004630046</v>
      </c>
    </row>
    <row r="422">
      <c r="A422" s="4" t="s">
        <v>224</v>
      </c>
      <c r="B422" s="4" t="s">
        <v>225</v>
      </c>
      <c r="C422" s="4" t="s">
        <v>226</v>
      </c>
      <c r="D422" s="4" t="s">
        <v>227</v>
      </c>
      <c r="E422" s="4" t="s">
        <v>228</v>
      </c>
      <c r="F422" s="4" t="s">
        <v>229</v>
      </c>
    </row>
    <row r="423">
      <c r="A423" s="22">
        <v>10046.0</v>
      </c>
      <c r="B423" s="22">
        <v>1.0</v>
      </c>
      <c r="C423" s="23" t="s">
        <v>230</v>
      </c>
      <c r="D423" s="24" t="s">
        <v>262</v>
      </c>
      <c r="E423" s="22">
        <v>0.0</v>
      </c>
      <c r="F423" s="22">
        <v>10.0</v>
      </c>
      <c r="G423" s="9" t="str">
        <f t="shared" ref="G423:H423" si="58">"[" &amp;E423&amp;","&amp;E424&amp;","&amp;E425&amp;","&amp;E426&amp;","&amp;E427&amp; "]"</f>
        <v>[0,0,0,0,0]</v>
      </c>
      <c r="H423" s="9" t="str">
        <f t="shared" si="58"/>
        <v>[10,16,22,34,50]</v>
      </c>
    </row>
    <row r="424">
      <c r="A424" s="21"/>
      <c r="B424" s="22">
        <v>2.0</v>
      </c>
      <c r="C424" s="23" t="s">
        <v>230</v>
      </c>
      <c r="D424" s="24" t="s">
        <v>262</v>
      </c>
      <c r="E424" s="22">
        <v>0.0</v>
      </c>
      <c r="F424" s="22">
        <v>16.0</v>
      </c>
    </row>
    <row r="425">
      <c r="A425" s="21"/>
      <c r="B425" s="22">
        <v>3.0</v>
      </c>
      <c r="C425" s="23" t="s">
        <v>230</v>
      </c>
      <c r="D425" s="24" t="s">
        <v>262</v>
      </c>
      <c r="E425" s="22">
        <v>0.0</v>
      </c>
      <c r="F425" s="22">
        <v>22.0</v>
      </c>
    </row>
    <row r="426">
      <c r="A426" s="21"/>
      <c r="B426" s="22">
        <v>4.0</v>
      </c>
      <c r="C426" s="23" t="s">
        <v>230</v>
      </c>
      <c r="D426" s="24" t="s">
        <v>262</v>
      </c>
      <c r="E426" s="22">
        <v>0.0</v>
      </c>
      <c r="F426" s="22">
        <v>34.0</v>
      </c>
    </row>
    <row r="427">
      <c r="A427" s="21"/>
      <c r="B427" s="22">
        <v>5.0</v>
      </c>
      <c r="C427" s="23" t="s">
        <v>230</v>
      </c>
      <c r="D427" s="24" t="s">
        <v>262</v>
      </c>
      <c r="E427" s="22">
        <v>0.0</v>
      </c>
      <c r="F427" s="22">
        <v>50.0</v>
      </c>
    </row>
    <row r="428">
      <c r="A428" s="22">
        <f>A423+10000</f>
        <v>20046</v>
      </c>
      <c r="B428" s="22">
        <v>1.0</v>
      </c>
      <c r="C428" s="23" t="s">
        <v>232</v>
      </c>
      <c r="D428" s="24" t="s">
        <v>236</v>
      </c>
      <c r="E428" s="22">
        <v>0.0</v>
      </c>
      <c r="F428" s="22">
        <v>30000.0</v>
      </c>
      <c r="G428" s="9" t="str">
        <f t="shared" ref="G428:H428" si="59">"[" &amp;E428&amp;","&amp;E429&amp;","&amp;E430&amp;","&amp;E431&amp;","&amp;E432&amp; "]"</f>
        <v>[0,0,0,0,0]</v>
      </c>
      <c r="H428" s="9" t="str">
        <f t="shared" si="59"/>
        <v>[30000,50000,70000,100000,150000]</v>
      </c>
    </row>
    <row r="429">
      <c r="A429" s="21"/>
      <c r="B429" s="22">
        <v>2.0</v>
      </c>
      <c r="C429" s="23" t="s">
        <v>232</v>
      </c>
      <c r="D429" s="24" t="s">
        <v>236</v>
      </c>
      <c r="E429" s="22">
        <v>0.0</v>
      </c>
      <c r="F429" s="22">
        <v>50000.0</v>
      </c>
    </row>
    <row r="430">
      <c r="A430" s="21"/>
      <c r="B430" s="22">
        <v>3.0</v>
      </c>
      <c r="C430" s="23" t="s">
        <v>232</v>
      </c>
      <c r="D430" s="24" t="s">
        <v>236</v>
      </c>
      <c r="E430" s="22">
        <v>0.0</v>
      </c>
      <c r="F430" s="22">
        <v>70000.0</v>
      </c>
    </row>
    <row r="431" ht="15.75" customHeight="1">
      <c r="A431" s="21"/>
      <c r="B431" s="22">
        <v>4.0</v>
      </c>
      <c r="C431" s="23" t="s">
        <v>232</v>
      </c>
      <c r="D431" s="24" t="s">
        <v>236</v>
      </c>
      <c r="E431" s="22">
        <v>0.0</v>
      </c>
      <c r="F431" s="22">
        <v>100000.0</v>
      </c>
    </row>
    <row r="432">
      <c r="A432" s="21"/>
      <c r="B432" s="22">
        <v>5.0</v>
      </c>
      <c r="C432" s="23" t="s">
        <v>232</v>
      </c>
      <c r="D432" s="24" t="s">
        <v>236</v>
      </c>
      <c r="E432" s="22">
        <v>0.0</v>
      </c>
      <c r="F432" s="22">
        <v>150000.0</v>
      </c>
    </row>
    <row r="434">
      <c r="A434" s="10" t="str">
        <f>"# 스킬 idx " &amp;A436&amp; VLOOKUP(A436,SkillData!A$2:E$459,3,FALSE)</f>
        <v># 스킬 idx 1010130101</v>
      </c>
    </row>
    <row r="435">
      <c r="A435" s="4" t="s">
        <v>224</v>
      </c>
      <c r="B435" s="4" t="s">
        <v>225</v>
      </c>
      <c r="C435" s="4" t="s">
        <v>226</v>
      </c>
      <c r="D435" s="4" t="s">
        <v>227</v>
      </c>
      <c r="E435" s="4" t="s">
        <v>228</v>
      </c>
      <c r="F435" s="4" t="s">
        <v>229</v>
      </c>
    </row>
    <row r="436">
      <c r="A436" s="22">
        <v>10101.0</v>
      </c>
      <c r="B436" s="22">
        <v>1.0</v>
      </c>
      <c r="C436" s="23" t="s">
        <v>263</v>
      </c>
      <c r="D436" s="24" t="s">
        <v>264</v>
      </c>
      <c r="E436" s="22">
        <v>0.0</v>
      </c>
      <c r="F436" s="22">
        <v>5.0</v>
      </c>
      <c r="G436" s="9" t="str">
        <f t="shared" ref="G436:H436" si="60">"[" &amp;E436&amp;","&amp;E437&amp;","&amp;E438&amp;","&amp;E439&amp;","&amp;E440&amp; "]"</f>
        <v>[0,0,0,0,0]</v>
      </c>
      <c r="H436" s="9" t="str">
        <f t="shared" si="60"/>
        <v>[5,8,14,20,30]</v>
      </c>
    </row>
    <row r="437">
      <c r="A437" s="21"/>
      <c r="B437" s="22">
        <v>2.0</v>
      </c>
      <c r="C437" s="23" t="s">
        <v>263</v>
      </c>
      <c r="D437" s="24" t="s">
        <v>264</v>
      </c>
      <c r="E437" s="22">
        <v>0.0</v>
      </c>
      <c r="F437" s="22">
        <v>8.0</v>
      </c>
    </row>
    <row r="438">
      <c r="A438" s="21"/>
      <c r="B438" s="22">
        <v>3.0</v>
      </c>
      <c r="C438" s="23" t="s">
        <v>263</v>
      </c>
      <c r="D438" s="24" t="s">
        <v>264</v>
      </c>
      <c r="E438" s="22">
        <v>0.0</v>
      </c>
      <c r="F438" s="22">
        <v>14.0</v>
      </c>
    </row>
    <row r="439">
      <c r="A439" s="21"/>
      <c r="B439" s="22">
        <v>4.0</v>
      </c>
      <c r="C439" s="23" t="s">
        <v>263</v>
      </c>
      <c r="D439" s="24" t="s">
        <v>264</v>
      </c>
      <c r="E439" s="22">
        <v>0.0</v>
      </c>
      <c r="F439" s="22">
        <v>20.0</v>
      </c>
    </row>
    <row r="440">
      <c r="A440" s="21"/>
      <c r="B440" s="22">
        <v>5.0</v>
      </c>
      <c r="C440" s="23" t="s">
        <v>263</v>
      </c>
      <c r="D440" s="24" t="s">
        <v>264</v>
      </c>
      <c r="E440" s="22">
        <v>0.0</v>
      </c>
      <c r="F440" s="22">
        <v>30.0</v>
      </c>
    </row>
    <row r="442">
      <c r="A442" s="10" t="str">
        <f>"# 스킬 idx " &amp;A444&amp; VLOOKUP(A444,SkillData!A$2:E$459,3,FALSE)</f>
        <v># 스킬 idx 1010230102</v>
      </c>
    </row>
    <row r="443">
      <c r="A443" s="4" t="s">
        <v>224</v>
      </c>
      <c r="B443" s="4" t="s">
        <v>225</v>
      </c>
      <c r="C443" s="4" t="s">
        <v>226</v>
      </c>
      <c r="D443" s="4" t="s">
        <v>227</v>
      </c>
      <c r="E443" s="4" t="s">
        <v>228</v>
      </c>
      <c r="F443" s="4" t="s">
        <v>229</v>
      </c>
    </row>
    <row r="444">
      <c r="A444" s="22">
        <v>10102.0</v>
      </c>
      <c r="B444" s="22">
        <v>1.0</v>
      </c>
      <c r="C444" s="23" t="s">
        <v>263</v>
      </c>
      <c r="D444" s="24" t="s">
        <v>264</v>
      </c>
      <c r="E444" s="22">
        <v>0.0</v>
      </c>
      <c r="F444" s="22">
        <v>10.0</v>
      </c>
      <c r="G444" s="9" t="str">
        <f t="shared" ref="G444:H444" si="61">"[" &amp;E444&amp;","&amp;E445&amp;","&amp;E446&amp;","&amp;E447&amp;","&amp;E448&amp; "]"</f>
        <v>[0,0,0,0,0]</v>
      </c>
      <c r="H444" s="9" t="str">
        <f t="shared" si="61"/>
        <v>[10,16,22,34,50]</v>
      </c>
    </row>
    <row r="445">
      <c r="A445" s="21"/>
      <c r="B445" s="22">
        <v>2.0</v>
      </c>
      <c r="C445" s="23" t="s">
        <v>263</v>
      </c>
      <c r="D445" s="24" t="s">
        <v>264</v>
      </c>
      <c r="E445" s="22">
        <v>0.0</v>
      </c>
      <c r="F445" s="22">
        <v>16.0</v>
      </c>
    </row>
    <row r="446">
      <c r="A446" s="21"/>
      <c r="B446" s="22">
        <v>3.0</v>
      </c>
      <c r="C446" s="23" t="s">
        <v>263</v>
      </c>
      <c r="D446" s="24" t="s">
        <v>264</v>
      </c>
      <c r="E446" s="22">
        <v>0.0</v>
      </c>
      <c r="F446" s="22">
        <v>22.0</v>
      </c>
    </row>
    <row r="447">
      <c r="A447" s="21"/>
      <c r="B447" s="22">
        <v>4.0</v>
      </c>
      <c r="C447" s="23" t="s">
        <v>263</v>
      </c>
      <c r="D447" s="24" t="s">
        <v>264</v>
      </c>
      <c r="E447" s="22">
        <v>0.0</v>
      </c>
      <c r="F447" s="22">
        <v>34.0</v>
      </c>
    </row>
    <row r="448">
      <c r="A448" s="21"/>
      <c r="B448" s="22">
        <v>5.0</v>
      </c>
      <c r="C448" s="23" t="s">
        <v>263</v>
      </c>
      <c r="D448" s="24" t="s">
        <v>264</v>
      </c>
      <c r="E448" s="22">
        <v>0.0</v>
      </c>
      <c r="F448" s="22">
        <v>50.0</v>
      </c>
    </row>
    <row r="450">
      <c r="A450" s="10" t="str">
        <f>"# 스킬 idx " &amp;A452&amp; VLOOKUP(A452,SkillData!A$2:E$459,3,FALSE)</f>
        <v># 스킬 idx 1010330103</v>
      </c>
    </row>
    <row r="451">
      <c r="A451" s="4" t="s">
        <v>224</v>
      </c>
      <c r="B451" s="4" t="s">
        <v>225</v>
      </c>
      <c r="C451" s="4" t="s">
        <v>226</v>
      </c>
      <c r="D451" s="4" t="s">
        <v>227</v>
      </c>
      <c r="E451" s="4" t="s">
        <v>228</v>
      </c>
      <c r="F451" s="4" t="s">
        <v>229</v>
      </c>
    </row>
    <row r="452">
      <c r="A452" s="22">
        <v>10103.0</v>
      </c>
      <c r="B452" s="22">
        <v>1.0</v>
      </c>
      <c r="C452" s="23" t="s">
        <v>263</v>
      </c>
      <c r="D452" s="24" t="s">
        <v>264</v>
      </c>
      <c r="E452" s="22">
        <v>0.0</v>
      </c>
      <c r="F452" s="22">
        <v>10.0</v>
      </c>
      <c r="G452" s="9" t="str">
        <f t="shared" ref="G452:H452" si="62">"[" &amp;E452&amp;","&amp;E453&amp;","&amp;E454&amp;","&amp;E455&amp;","&amp;E456&amp; "]"</f>
        <v>[0,0,0,0,0]</v>
      </c>
      <c r="H452" s="9" t="str">
        <f t="shared" si="62"/>
        <v>[10,16,22,34,50]</v>
      </c>
    </row>
    <row r="453">
      <c r="A453" s="21"/>
      <c r="B453" s="22">
        <v>2.0</v>
      </c>
      <c r="C453" s="23" t="s">
        <v>263</v>
      </c>
      <c r="D453" s="24" t="s">
        <v>264</v>
      </c>
      <c r="E453" s="22">
        <v>0.0</v>
      </c>
      <c r="F453" s="22">
        <v>16.0</v>
      </c>
    </row>
    <row r="454">
      <c r="A454" s="21"/>
      <c r="B454" s="22">
        <v>3.0</v>
      </c>
      <c r="C454" s="23" t="s">
        <v>263</v>
      </c>
      <c r="D454" s="24" t="s">
        <v>264</v>
      </c>
      <c r="E454" s="22">
        <v>0.0</v>
      </c>
      <c r="F454" s="22">
        <v>22.0</v>
      </c>
    </row>
    <row r="455">
      <c r="A455" s="21"/>
      <c r="B455" s="22">
        <v>4.0</v>
      </c>
      <c r="C455" s="23" t="s">
        <v>263</v>
      </c>
      <c r="D455" s="24" t="s">
        <v>264</v>
      </c>
      <c r="E455" s="22">
        <v>0.0</v>
      </c>
      <c r="F455" s="22">
        <v>34.0</v>
      </c>
    </row>
    <row r="456">
      <c r="A456" s="21"/>
      <c r="B456" s="22">
        <v>5.0</v>
      </c>
      <c r="C456" s="23" t="s">
        <v>263</v>
      </c>
      <c r="D456" s="24" t="s">
        <v>264</v>
      </c>
      <c r="E456" s="22">
        <v>0.0</v>
      </c>
      <c r="F456" s="22">
        <v>50.0</v>
      </c>
    </row>
    <row r="458">
      <c r="A458" s="10" t="str">
        <f>"# 스킬 idx " &amp;A460&amp; VLOOKUP(A460,SkillData!A$2:E$459,3,FALSE)</f>
        <v># 스킬 idx 1010430104</v>
      </c>
    </row>
    <row r="459">
      <c r="A459" s="4" t="s">
        <v>224</v>
      </c>
      <c r="B459" s="4" t="s">
        <v>225</v>
      </c>
      <c r="C459" s="4" t="s">
        <v>226</v>
      </c>
      <c r="D459" s="4" t="s">
        <v>227</v>
      </c>
      <c r="E459" s="4" t="s">
        <v>228</v>
      </c>
      <c r="F459" s="4" t="s">
        <v>229</v>
      </c>
    </row>
    <row r="460">
      <c r="A460" s="22">
        <v>10104.0</v>
      </c>
      <c r="B460" s="22">
        <v>1.0</v>
      </c>
      <c r="C460" s="23" t="s">
        <v>263</v>
      </c>
      <c r="D460" s="24" t="s">
        <v>265</v>
      </c>
      <c r="E460" s="22">
        <v>0.0</v>
      </c>
      <c r="F460" s="22">
        <v>5.0</v>
      </c>
      <c r="G460" s="9" t="str">
        <f t="shared" ref="G460:H460" si="63">"[" &amp;E460&amp;","&amp;E461&amp;","&amp;E462&amp;","&amp;E463&amp;","&amp;E464&amp; "]"</f>
        <v>[0,0,0,0,0]</v>
      </c>
      <c r="H460" s="9" t="str">
        <f t="shared" si="63"/>
        <v>[5,8,14,20,30]</v>
      </c>
    </row>
    <row r="461">
      <c r="A461" s="21"/>
      <c r="B461" s="22">
        <v>2.0</v>
      </c>
      <c r="C461" s="23" t="s">
        <v>263</v>
      </c>
      <c r="D461" s="24" t="s">
        <v>265</v>
      </c>
      <c r="E461" s="22">
        <v>0.0</v>
      </c>
      <c r="F461" s="22">
        <v>8.0</v>
      </c>
    </row>
    <row r="462">
      <c r="A462" s="21"/>
      <c r="B462" s="22">
        <v>3.0</v>
      </c>
      <c r="C462" s="23" t="s">
        <v>263</v>
      </c>
      <c r="D462" s="24" t="s">
        <v>265</v>
      </c>
      <c r="E462" s="22">
        <v>0.0</v>
      </c>
      <c r="F462" s="22">
        <v>14.0</v>
      </c>
    </row>
    <row r="463">
      <c r="A463" s="21"/>
      <c r="B463" s="22">
        <v>4.0</v>
      </c>
      <c r="C463" s="23" t="s">
        <v>263</v>
      </c>
      <c r="D463" s="24" t="s">
        <v>265</v>
      </c>
      <c r="E463" s="22">
        <v>0.0</v>
      </c>
      <c r="F463" s="22">
        <v>20.0</v>
      </c>
    </row>
    <row r="464">
      <c r="A464" s="21"/>
      <c r="B464" s="22">
        <v>5.0</v>
      </c>
      <c r="C464" s="23" t="s">
        <v>263</v>
      </c>
      <c r="D464" s="24" t="s">
        <v>265</v>
      </c>
      <c r="E464" s="22">
        <v>0.0</v>
      </c>
      <c r="F464" s="22">
        <v>30.0</v>
      </c>
    </row>
    <row r="466">
      <c r="A466" s="10" t="str">
        <f>"# 스킬 idx " &amp;A468&amp; VLOOKUP(A468,SkillData!A$2:E$459,3,FALSE)</f>
        <v># 스킬 idx 1010530105</v>
      </c>
    </row>
    <row r="467">
      <c r="A467" s="4" t="s">
        <v>224</v>
      </c>
      <c r="B467" s="4" t="s">
        <v>225</v>
      </c>
      <c r="C467" s="4" t="s">
        <v>226</v>
      </c>
      <c r="D467" s="4" t="s">
        <v>227</v>
      </c>
      <c r="E467" s="4" t="s">
        <v>228</v>
      </c>
      <c r="F467" s="4" t="s">
        <v>229</v>
      </c>
    </row>
    <row r="468">
      <c r="A468" s="22">
        <v>10105.0</v>
      </c>
      <c r="B468" s="22">
        <v>1.0</v>
      </c>
      <c r="C468" s="23" t="s">
        <v>263</v>
      </c>
      <c r="D468" s="24" t="s">
        <v>265</v>
      </c>
      <c r="E468" s="22">
        <v>0.0</v>
      </c>
      <c r="F468" s="22">
        <v>10.0</v>
      </c>
      <c r="G468" s="9" t="str">
        <f t="shared" ref="G468:H468" si="64">"[" &amp;E468&amp;","&amp;E469&amp;","&amp;E470&amp;","&amp;E471&amp;","&amp;E472&amp; "]"</f>
        <v>[0,0,0,0,0]</v>
      </c>
      <c r="H468" s="9" t="str">
        <f t="shared" si="64"/>
        <v>[10,16,22,34,50]</v>
      </c>
    </row>
    <row r="469">
      <c r="A469" s="21"/>
      <c r="B469" s="22">
        <v>2.0</v>
      </c>
      <c r="C469" s="23" t="s">
        <v>263</v>
      </c>
      <c r="D469" s="24" t="s">
        <v>265</v>
      </c>
      <c r="E469" s="22">
        <v>0.0</v>
      </c>
      <c r="F469" s="22">
        <v>16.0</v>
      </c>
    </row>
    <row r="470">
      <c r="A470" s="21"/>
      <c r="B470" s="22">
        <v>3.0</v>
      </c>
      <c r="C470" s="23" t="s">
        <v>263</v>
      </c>
      <c r="D470" s="24" t="s">
        <v>265</v>
      </c>
      <c r="E470" s="22">
        <v>0.0</v>
      </c>
      <c r="F470" s="22">
        <v>22.0</v>
      </c>
    </row>
    <row r="471">
      <c r="A471" s="21"/>
      <c r="B471" s="22">
        <v>4.0</v>
      </c>
      <c r="C471" s="23" t="s">
        <v>263</v>
      </c>
      <c r="D471" s="24" t="s">
        <v>265</v>
      </c>
      <c r="E471" s="22">
        <v>0.0</v>
      </c>
      <c r="F471" s="22">
        <v>34.0</v>
      </c>
    </row>
    <row r="472">
      <c r="A472" s="21"/>
      <c r="B472" s="22">
        <v>5.0</v>
      </c>
      <c r="C472" s="23" t="s">
        <v>263</v>
      </c>
      <c r="D472" s="24" t="s">
        <v>265</v>
      </c>
      <c r="E472" s="22">
        <v>0.0</v>
      </c>
      <c r="F472" s="22">
        <v>50.0</v>
      </c>
    </row>
    <row r="474">
      <c r="A474" s="10" t="str">
        <f>"# 스킬 idx " &amp;A476&amp; VLOOKUP(A476,SkillData!A$2:E$459,3,FALSE)</f>
        <v># 스킬 idx 1010630106</v>
      </c>
    </row>
    <row r="475">
      <c r="A475" s="4" t="s">
        <v>224</v>
      </c>
      <c r="B475" s="4" t="s">
        <v>225</v>
      </c>
      <c r="C475" s="4" t="s">
        <v>226</v>
      </c>
      <c r="D475" s="4" t="s">
        <v>227</v>
      </c>
      <c r="E475" s="4" t="s">
        <v>228</v>
      </c>
      <c r="F475" s="4" t="s">
        <v>229</v>
      </c>
    </row>
    <row r="476">
      <c r="A476" s="22">
        <v>10106.0</v>
      </c>
      <c r="B476" s="22">
        <v>1.0</v>
      </c>
      <c r="C476" s="23" t="s">
        <v>263</v>
      </c>
      <c r="D476" s="24" t="s">
        <v>265</v>
      </c>
      <c r="E476" s="22">
        <v>0.0</v>
      </c>
      <c r="F476" s="22">
        <v>10.0</v>
      </c>
      <c r="G476" s="9" t="str">
        <f t="shared" ref="G476:H476" si="65">"[" &amp;E476&amp;","&amp;E477&amp;","&amp;E478&amp;","&amp;E479&amp;","&amp;E480&amp; "]"</f>
        <v>[0,0,0,0,0]</v>
      </c>
      <c r="H476" s="9" t="str">
        <f t="shared" si="65"/>
        <v>[10,16,22,34,50]</v>
      </c>
    </row>
    <row r="477">
      <c r="A477" s="21"/>
      <c r="B477" s="22">
        <v>2.0</v>
      </c>
      <c r="C477" s="23" t="s">
        <v>263</v>
      </c>
      <c r="D477" s="24" t="s">
        <v>265</v>
      </c>
      <c r="E477" s="22">
        <v>0.0</v>
      </c>
      <c r="F477" s="22">
        <v>16.0</v>
      </c>
    </row>
    <row r="478">
      <c r="A478" s="21"/>
      <c r="B478" s="22">
        <v>3.0</v>
      </c>
      <c r="C478" s="23" t="s">
        <v>263</v>
      </c>
      <c r="D478" s="24" t="s">
        <v>265</v>
      </c>
      <c r="E478" s="22">
        <v>0.0</v>
      </c>
      <c r="F478" s="22">
        <v>22.0</v>
      </c>
    </row>
    <row r="479">
      <c r="A479" s="21"/>
      <c r="B479" s="22">
        <v>4.0</v>
      </c>
      <c r="C479" s="23" t="s">
        <v>263</v>
      </c>
      <c r="D479" s="24" t="s">
        <v>265</v>
      </c>
      <c r="E479" s="22">
        <v>0.0</v>
      </c>
      <c r="F479" s="22">
        <v>34.0</v>
      </c>
    </row>
    <row r="480">
      <c r="A480" s="21"/>
      <c r="B480" s="22">
        <v>5.0</v>
      </c>
      <c r="C480" s="23" t="s">
        <v>263</v>
      </c>
      <c r="D480" s="24" t="s">
        <v>265</v>
      </c>
      <c r="E480" s="22">
        <v>0.0</v>
      </c>
      <c r="F480" s="22">
        <v>50.0</v>
      </c>
    </row>
    <row r="482">
      <c r="A482" s="10" t="str">
        <f>"# 스킬 idx " &amp;A484&amp; VLOOKUP(A484,SkillData!A$2:E$459,3,FALSE)</f>
        <v># 스킬 idx 1010730107</v>
      </c>
    </row>
    <row r="483">
      <c r="A483" s="4" t="s">
        <v>224</v>
      </c>
      <c r="B483" s="4" t="s">
        <v>225</v>
      </c>
      <c r="C483" s="4" t="s">
        <v>226</v>
      </c>
      <c r="D483" s="4" t="s">
        <v>227</v>
      </c>
      <c r="E483" s="4" t="s">
        <v>228</v>
      </c>
      <c r="F483" s="4" t="s">
        <v>229</v>
      </c>
    </row>
    <row r="484">
      <c r="A484" s="22">
        <v>10107.0</v>
      </c>
      <c r="B484" s="22">
        <v>1.0</v>
      </c>
      <c r="C484" s="23" t="s">
        <v>263</v>
      </c>
      <c r="D484" s="24" t="s">
        <v>256</v>
      </c>
      <c r="E484" s="22">
        <v>0.0</v>
      </c>
      <c r="F484" s="22">
        <v>5.0</v>
      </c>
      <c r="G484" s="9" t="str">
        <f t="shared" ref="G484:H484" si="66">"[" &amp;E484&amp;","&amp;E485&amp;","&amp;E486&amp;","&amp;E487&amp;","&amp;E488&amp; "]"</f>
        <v>[0,0,0,0,0]</v>
      </c>
      <c r="H484" s="9" t="str">
        <f t="shared" si="66"/>
        <v>[5,8,14,20,30]</v>
      </c>
    </row>
    <row r="485">
      <c r="A485" s="21"/>
      <c r="B485" s="22">
        <v>2.0</v>
      </c>
      <c r="C485" s="23" t="s">
        <v>263</v>
      </c>
      <c r="D485" s="24" t="s">
        <v>256</v>
      </c>
      <c r="E485" s="22">
        <v>0.0</v>
      </c>
      <c r="F485" s="22">
        <v>8.0</v>
      </c>
    </row>
    <row r="486">
      <c r="A486" s="21"/>
      <c r="B486" s="22">
        <v>3.0</v>
      </c>
      <c r="C486" s="23" t="s">
        <v>263</v>
      </c>
      <c r="D486" s="24" t="s">
        <v>256</v>
      </c>
      <c r="E486" s="22">
        <v>0.0</v>
      </c>
      <c r="F486" s="22">
        <v>14.0</v>
      </c>
    </row>
    <row r="487">
      <c r="A487" s="21"/>
      <c r="B487" s="22">
        <v>4.0</v>
      </c>
      <c r="C487" s="23" t="s">
        <v>263</v>
      </c>
      <c r="D487" s="24" t="s">
        <v>256</v>
      </c>
      <c r="E487" s="22">
        <v>0.0</v>
      </c>
      <c r="F487" s="22">
        <v>20.0</v>
      </c>
    </row>
    <row r="488">
      <c r="A488" s="21"/>
      <c r="B488" s="22">
        <v>5.0</v>
      </c>
      <c r="C488" s="23" t="s">
        <v>263</v>
      </c>
      <c r="D488" s="24" t="s">
        <v>256</v>
      </c>
      <c r="E488" s="22">
        <v>0.0</v>
      </c>
      <c r="F488" s="22">
        <v>30.0</v>
      </c>
    </row>
    <row r="490">
      <c r="A490" s="10" t="str">
        <f>"# 스킬 idx " &amp;A492&amp; VLOOKUP(A492,SkillData!A$2:E$459,3,FALSE)</f>
        <v># 스킬 idx 1010830108</v>
      </c>
    </row>
    <row r="491">
      <c r="A491" s="4" t="s">
        <v>224</v>
      </c>
      <c r="B491" s="4" t="s">
        <v>225</v>
      </c>
      <c r="C491" s="4" t="s">
        <v>226</v>
      </c>
      <c r="D491" s="4" t="s">
        <v>227</v>
      </c>
      <c r="E491" s="4" t="s">
        <v>228</v>
      </c>
      <c r="F491" s="4" t="s">
        <v>229</v>
      </c>
    </row>
    <row r="492">
      <c r="A492" s="22">
        <v>10108.0</v>
      </c>
      <c r="B492" s="22">
        <v>1.0</v>
      </c>
      <c r="C492" s="23" t="s">
        <v>263</v>
      </c>
      <c r="D492" s="24" t="s">
        <v>256</v>
      </c>
      <c r="E492" s="22">
        <v>0.0</v>
      </c>
      <c r="F492" s="22">
        <v>10.0</v>
      </c>
      <c r="G492" s="9" t="str">
        <f t="shared" ref="G492:H492" si="67">"[" &amp;E492&amp;","&amp;E493&amp;","&amp;E494&amp;","&amp;E495&amp;","&amp;E496&amp; "]"</f>
        <v>[0,0,0,0,0]</v>
      </c>
      <c r="H492" s="9" t="str">
        <f t="shared" si="67"/>
        <v>[10,16,22,34,50]</v>
      </c>
    </row>
    <row r="493">
      <c r="A493" s="21"/>
      <c r="B493" s="22">
        <v>2.0</v>
      </c>
      <c r="C493" s="23" t="s">
        <v>263</v>
      </c>
      <c r="D493" s="24" t="s">
        <v>256</v>
      </c>
      <c r="E493" s="22">
        <v>0.0</v>
      </c>
      <c r="F493" s="22">
        <v>16.0</v>
      </c>
    </row>
    <row r="494">
      <c r="A494" s="21"/>
      <c r="B494" s="22">
        <v>3.0</v>
      </c>
      <c r="C494" s="23" t="s">
        <v>263</v>
      </c>
      <c r="D494" s="24" t="s">
        <v>256</v>
      </c>
      <c r="E494" s="22">
        <v>0.0</v>
      </c>
      <c r="F494" s="22">
        <v>22.0</v>
      </c>
    </row>
    <row r="495">
      <c r="A495" s="21"/>
      <c r="B495" s="22">
        <v>4.0</v>
      </c>
      <c r="C495" s="23" t="s">
        <v>263</v>
      </c>
      <c r="D495" s="24" t="s">
        <v>256</v>
      </c>
      <c r="E495" s="22">
        <v>0.0</v>
      </c>
      <c r="F495" s="22">
        <v>34.0</v>
      </c>
    </row>
    <row r="496">
      <c r="A496" s="21"/>
      <c r="B496" s="22">
        <v>5.0</v>
      </c>
      <c r="C496" s="23" t="s">
        <v>263</v>
      </c>
      <c r="D496" s="24" t="s">
        <v>256</v>
      </c>
      <c r="E496" s="22">
        <v>0.0</v>
      </c>
      <c r="F496" s="22">
        <v>50.0</v>
      </c>
    </row>
    <row r="498">
      <c r="A498" s="10" t="str">
        <f>"# 스킬 idx " &amp;A500&amp; VLOOKUP(A500,SkillData!A$2:E$459,3,FALSE)</f>
        <v># 스킬 idx 1010930109</v>
      </c>
    </row>
    <row r="499">
      <c r="A499" s="4" t="s">
        <v>224</v>
      </c>
      <c r="B499" s="4" t="s">
        <v>225</v>
      </c>
      <c r="C499" s="4" t="s">
        <v>226</v>
      </c>
      <c r="D499" s="4" t="s">
        <v>227</v>
      </c>
      <c r="E499" s="4" t="s">
        <v>228</v>
      </c>
      <c r="F499" s="4" t="s">
        <v>229</v>
      </c>
    </row>
    <row r="500">
      <c r="A500" s="22">
        <v>10109.0</v>
      </c>
      <c r="B500" s="22">
        <v>1.0</v>
      </c>
      <c r="C500" s="23" t="s">
        <v>263</v>
      </c>
      <c r="D500" s="24" t="s">
        <v>256</v>
      </c>
      <c r="E500" s="22">
        <v>0.0</v>
      </c>
      <c r="F500" s="22">
        <v>10.0</v>
      </c>
      <c r="G500" s="9" t="str">
        <f t="shared" ref="G500:H500" si="68">"[" &amp;E500&amp;","&amp;E501&amp;","&amp;E502&amp;","&amp;E503&amp;","&amp;E504&amp; "]"</f>
        <v>[0,0,0,0,0]</v>
      </c>
      <c r="H500" s="9" t="str">
        <f t="shared" si="68"/>
        <v>[10,16,22,34,50]</v>
      </c>
    </row>
    <row r="501">
      <c r="A501" s="21"/>
      <c r="B501" s="22">
        <v>2.0</v>
      </c>
      <c r="C501" s="23" t="s">
        <v>263</v>
      </c>
      <c r="D501" s="24" t="s">
        <v>256</v>
      </c>
      <c r="E501" s="22">
        <v>0.0</v>
      </c>
      <c r="F501" s="22">
        <v>16.0</v>
      </c>
    </row>
    <row r="502">
      <c r="A502" s="21"/>
      <c r="B502" s="22">
        <v>3.0</v>
      </c>
      <c r="C502" s="23" t="s">
        <v>263</v>
      </c>
      <c r="D502" s="24" t="s">
        <v>256</v>
      </c>
      <c r="E502" s="22">
        <v>0.0</v>
      </c>
      <c r="F502" s="22">
        <v>22.0</v>
      </c>
    </row>
    <row r="503">
      <c r="A503" s="21"/>
      <c r="B503" s="22">
        <v>4.0</v>
      </c>
      <c r="C503" s="23" t="s">
        <v>263</v>
      </c>
      <c r="D503" s="24" t="s">
        <v>256</v>
      </c>
      <c r="E503" s="22">
        <v>0.0</v>
      </c>
      <c r="F503" s="22">
        <v>34.0</v>
      </c>
    </row>
    <row r="504">
      <c r="A504" s="21"/>
      <c r="B504" s="22">
        <v>5.0</v>
      </c>
      <c r="C504" s="23" t="s">
        <v>263</v>
      </c>
      <c r="D504" s="24" t="s">
        <v>256</v>
      </c>
      <c r="E504" s="22">
        <v>0.0</v>
      </c>
      <c r="F504" s="22">
        <v>50.0</v>
      </c>
    </row>
    <row r="506">
      <c r="A506" s="10" t="str">
        <f>"# 스킬 idx " &amp;A508&amp; VLOOKUP(A508,SkillData!A$2:E$459,3,FALSE)</f>
        <v># 스킬 idx 1011030110</v>
      </c>
    </row>
    <row r="507">
      <c r="A507" s="4" t="s">
        <v>224</v>
      </c>
      <c r="B507" s="4" t="s">
        <v>225</v>
      </c>
      <c r="C507" s="4" t="s">
        <v>226</v>
      </c>
      <c r="D507" s="4" t="s">
        <v>227</v>
      </c>
      <c r="E507" s="4" t="s">
        <v>228</v>
      </c>
      <c r="F507" s="4" t="s">
        <v>229</v>
      </c>
    </row>
    <row r="508">
      <c r="A508" s="22">
        <v>10110.0</v>
      </c>
      <c r="B508" s="22">
        <v>1.0</v>
      </c>
      <c r="C508" s="23" t="s">
        <v>263</v>
      </c>
      <c r="D508" s="24" t="s">
        <v>260</v>
      </c>
      <c r="E508" s="22">
        <v>0.0</v>
      </c>
      <c r="F508" s="22">
        <v>5.0</v>
      </c>
      <c r="G508" s="9" t="str">
        <f t="shared" ref="G508:H508" si="69">"[" &amp;E508&amp;","&amp;E509&amp;","&amp;E510&amp;","&amp;E511&amp;","&amp;E512&amp; "]"</f>
        <v>[0,0,0,0,0]</v>
      </c>
      <c r="H508" s="9" t="str">
        <f t="shared" si="69"/>
        <v>[5,8,14,20,30]</v>
      </c>
    </row>
    <row r="509">
      <c r="A509" s="21"/>
      <c r="B509" s="22">
        <v>2.0</v>
      </c>
      <c r="C509" s="23" t="s">
        <v>263</v>
      </c>
      <c r="D509" s="24" t="s">
        <v>260</v>
      </c>
      <c r="E509" s="22">
        <v>0.0</v>
      </c>
      <c r="F509" s="22">
        <v>8.0</v>
      </c>
    </row>
    <row r="510">
      <c r="A510" s="21"/>
      <c r="B510" s="22">
        <v>3.0</v>
      </c>
      <c r="C510" s="23" t="s">
        <v>263</v>
      </c>
      <c r="D510" s="24" t="s">
        <v>260</v>
      </c>
      <c r="E510" s="22">
        <v>0.0</v>
      </c>
      <c r="F510" s="22">
        <v>14.0</v>
      </c>
    </row>
    <row r="511">
      <c r="A511" s="21"/>
      <c r="B511" s="22">
        <v>4.0</v>
      </c>
      <c r="C511" s="23" t="s">
        <v>263</v>
      </c>
      <c r="D511" s="24" t="s">
        <v>260</v>
      </c>
      <c r="E511" s="22">
        <v>0.0</v>
      </c>
      <c r="F511" s="22">
        <v>20.0</v>
      </c>
    </row>
    <row r="512">
      <c r="A512" s="21"/>
      <c r="B512" s="22">
        <v>5.0</v>
      </c>
      <c r="C512" s="23" t="s">
        <v>263</v>
      </c>
      <c r="D512" s="24" t="s">
        <v>260</v>
      </c>
      <c r="E512" s="22">
        <v>0.0</v>
      </c>
      <c r="F512" s="22">
        <v>30.0</v>
      </c>
    </row>
    <row r="514">
      <c r="A514" s="10" t="str">
        <f>"# 스킬 idx " &amp;A516&amp; VLOOKUP(A516,SkillData!A$2:E$459,3,FALSE)</f>
        <v># 스킬 idx 1011130111</v>
      </c>
    </row>
    <row r="515">
      <c r="A515" s="4" t="s">
        <v>224</v>
      </c>
      <c r="B515" s="4" t="s">
        <v>225</v>
      </c>
      <c r="C515" s="4" t="s">
        <v>226</v>
      </c>
      <c r="D515" s="4" t="s">
        <v>227</v>
      </c>
      <c r="E515" s="4" t="s">
        <v>228</v>
      </c>
      <c r="F515" s="4" t="s">
        <v>229</v>
      </c>
    </row>
    <row r="516">
      <c r="A516" s="22">
        <v>10111.0</v>
      </c>
      <c r="B516" s="22">
        <v>1.0</v>
      </c>
      <c r="C516" s="23" t="s">
        <v>263</v>
      </c>
      <c r="D516" s="24" t="s">
        <v>260</v>
      </c>
      <c r="E516" s="22">
        <v>0.0</v>
      </c>
      <c r="F516" s="22">
        <v>10.0</v>
      </c>
      <c r="G516" s="9" t="str">
        <f t="shared" ref="G516:H516" si="70">"[" &amp;E516&amp;","&amp;E517&amp;","&amp;E518&amp;","&amp;E519&amp;","&amp;E520&amp; "]"</f>
        <v>[0,0,0,0,0]</v>
      </c>
      <c r="H516" s="9" t="str">
        <f t="shared" si="70"/>
        <v>[10,16,22,34,50]</v>
      </c>
    </row>
    <row r="517">
      <c r="A517" s="21"/>
      <c r="B517" s="22">
        <v>2.0</v>
      </c>
      <c r="C517" s="23" t="s">
        <v>263</v>
      </c>
      <c r="D517" s="24" t="s">
        <v>260</v>
      </c>
      <c r="E517" s="22">
        <v>0.0</v>
      </c>
      <c r="F517" s="22">
        <v>16.0</v>
      </c>
    </row>
    <row r="518">
      <c r="A518" s="21"/>
      <c r="B518" s="22">
        <v>3.0</v>
      </c>
      <c r="C518" s="23" t="s">
        <v>263</v>
      </c>
      <c r="D518" s="24" t="s">
        <v>260</v>
      </c>
      <c r="E518" s="22">
        <v>0.0</v>
      </c>
      <c r="F518" s="22">
        <v>22.0</v>
      </c>
    </row>
    <row r="519">
      <c r="A519" s="21"/>
      <c r="B519" s="22">
        <v>4.0</v>
      </c>
      <c r="C519" s="23" t="s">
        <v>263</v>
      </c>
      <c r="D519" s="24" t="s">
        <v>260</v>
      </c>
      <c r="E519" s="22">
        <v>0.0</v>
      </c>
      <c r="F519" s="22">
        <v>34.0</v>
      </c>
    </row>
    <row r="520">
      <c r="A520" s="21"/>
      <c r="B520" s="22">
        <v>5.0</v>
      </c>
      <c r="C520" s="23" t="s">
        <v>263</v>
      </c>
      <c r="D520" s="24" t="s">
        <v>260</v>
      </c>
      <c r="E520" s="22">
        <v>0.0</v>
      </c>
      <c r="F520" s="22">
        <v>50.0</v>
      </c>
    </row>
    <row r="522">
      <c r="A522" s="10" t="str">
        <f>"# 스킬 idx " &amp;A524&amp; VLOOKUP(A524,SkillData!A$2:E$459,3,FALSE)</f>
        <v># 스킬 idx 1011230112</v>
      </c>
    </row>
    <row r="523">
      <c r="A523" s="4" t="s">
        <v>224</v>
      </c>
      <c r="B523" s="4" t="s">
        <v>225</v>
      </c>
      <c r="C523" s="4" t="s">
        <v>226</v>
      </c>
      <c r="D523" s="4" t="s">
        <v>227</v>
      </c>
      <c r="E523" s="4" t="s">
        <v>228</v>
      </c>
      <c r="F523" s="4" t="s">
        <v>229</v>
      </c>
    </row>
    <row r="524">
      <c r="A524" s="22">
        <v>10112.0</v>
      </c>
      <c r="B524" s="22">
        <v>1.0</v>
      </c>
      <c r="C524" s="23" t="s">
        <v>263</v>
      </c>
      <c r="D524" s="24" t="s">
        <v>260</v>
      </c>
      <c r="E524" s="22">
        <v>0.0</v>
      </c>
      <c r="F524" s="22">
        <v>10.0</v>
      </c>
      <c r="G524" s="9" t="str">
        <f t="shared" ref="G524:H524" si="71">"[" &amp;E524&amp;","&amp;E525&amp;","&amp;E526&amp;","&amp;E527&amp;","&amp;E528&amp; "]"</f>
        <v>[0,0,0,0,0]</v>
      </c>
      <c r="H524" s="9" t="str">
        <f t="shared" si="71"/>
        <v>[10,16,22,34,50]</v>
      </c>
    </row>
    <row r="525">
      <c r="A525" s="21"/>
      <c r="B525" s="22">
        <v>2.0</v>
      </c>
      <c r="C525" s="23" t="s">
        <v>263</v>
      </c>
      <c r="D525" s="24" t="s">
        <v>260</v>
      </c>
      <c r="E525" s="22">
        <v>0.0</v>
      </c>
      <c r="F525" s="22">
        <v>16.0</v>
      </c>
    </row>
    <row r="526">
      <c r="A526" s="21"/>
      <c r="B526" s="22">
        <v>3.0</v>
      </c>
      <c r="C526" s="23" t="s">
        <v>263</v>
      </c>
      <c r="D526" s="24" t="s">
        <v>260</v>
      </c>
      <c r="E526" s="22">
        <v>0.0</v>
      </c>
      <c r="F526" s="22">
        <v>22.0</v>
      </c>
    </row>
    <row r="527">
      <c r="A527" s="21"/>
      <c r="B527" s="22">
        <v>4.0</v>
      </c>
      <c r="C527" s="23" t="s">
        <v>263</v>
      </c>
      <c r="D527" s="24" t="s">
        <v>260</v>
      </c>
      <c r="E527" s="22">
        <v>0.0</v>
      </c>
      <c r="F527" s="22">
        <v>34.0</v>
      </c>
    </row>
    <row r="528">
      <c r="A528" s="21"/>
      <c r="B528" s="22">
        <v>5.0</v>
      </c>
      <c r="C528" s="23" t="s">
        <v>263</v>
      </c>
      <c r="D528" s="24" t="s">
        <v>260</v>
      </c>
      <c r="E528" s="22">
        <v>0.0</v>
      </c>
      <c r="F528" s="22">
        <v>50.0</v>
      </c>
    </row>
    <row r="530">
      <c r="A530" s="10" t="str">
        <f>"# 스킬 idx " &amp;A532&amp; VLOOKUP(A532,SkillData!A$2:E$459,3,FALSE)</f>
        <v># 스킬 idx 1011330113</v>
      </c>
    </row>
    <row r="531">
      <c r="A531" s="4" t="s">
        <v>224</v>
      </c>
      <c r="B531" s="4" t="s">
        <v>225</v>
      </c>
      <c r="C531" s="4" t="s">
        <v>226</v>
      </c>
      <c r="D531" s="4" t="s">
        <v>227</v>
      </c>
      <c r="E531" s="4" t="s">
        <v>228</v>
      </c>
      <c r="F531" s="4" t="s">
        <v>229</v>
      </c>
    </row>
    <row r="532">
      <c r="A532" s="22">
        <v>10113.0</v>
      </c>
      <c r="B532" s="22">
        <v>1.0</v>
      </c>
      <c r="C532" s="23" t="s">
        <v>263</v>
      </c>
      <c r="D532" s="24" t="s">
        <v>266</v>
      </c>
      <c r="E532" s="22">
        <v>0.0</v>
      </c>
      <c r="F532" s="22">
        <v>10.0</v>
      </c>
      <c r="G532" s="9" t="str">
        <f t="shared" ref="G532:H532" si="72">"[" &amp;E532&amp;","&amp;E533&amp;","&amp;E534&amp;","&amp;E535&amp;","&amp;E536&amp; "]"</f>
        <v>[0,0,0,0,0]</v>
      </c>
      <c r="H532" s="9" t="str">
        <f t="shared" si="72"/>
        <v>[10,16,22,34,50]</v>
      </c>
    </row>
    <row r="533">
      <c r="A533" s="21"/>
      <c r="B533" s="22">
        <v>2.0</v>
      </c>
      <c r="C533" s="23" t="s">
        <v>263</v>
      </c>
      <c r="D533" s="24" t="s">
        <v>266</v>
      </c>
      <c r="E533" s="22">
        <v>0.0</v>
      </c>
      <c r="F533" s="22">
        <v>16.0</v>
      </c>
    </row>
    <row r="534">
      <c r="A534" s="21"/>
      <c r="B534" s="22">
        <v>3.0</v>
      </c>
      <c r="C534" s="23" t="s">
        <v>263</v>
      </c>
      <c r="D534" s="24" t="s">
        <v>266</v>
      </c>
      <c r="E534" s="22">
        <v>0.0</v>
      </c>
      <c r="F534" s="22">
        <v>22.0</v>
      </c>
    </row>
    <row r="535">
      <c r="A535" s="21"/>
      <c r="B535" s="22">
        <v>4.0</v>
      </c>
      <c r="C535" s="23" t="s">
        <v>263</v>
      </c>
      <c r="D535" s="24" t="s">
        <v>266</v>
      </c>
      <c r="E535" s="22">
        <v>0.0</v>
      </c>
      <c r="F535" s="22">
        <v>34.0</v>
      </c>
    </row>
    <row r="536">
      <c r="A536" s="21"/>
      <c r="B536" s="22">
        <v>5.0</v>
      </c>
      <c r="C536" s="23" t="s">
        <v>263</v>
      </c>
      <c r="D536" s="24" t="s">
        <v>266</v>
      </c>
      <c r="E536" s="22">
        <v>0.0</v>
      </c>
      <c r="F536" s="22">
        <v>50.0</v>
      </c>
    </row>
    <row r="538">
      <c r="A538" s="10" t="str">
        <f>"# 스킬 idx " &amp;A540&amp; VLOOKUP(A540,SkillData!A$2:E$459,3,FALSE)</f>
        <v># 스킬 idx 1011430114</v>
      </c>
    </row>
    <row r="539">
      <c r="A539" s="4" t="s">
        <v>224</v>
      </c>
      <c r="B539" s="4" t="s">
        <v>225</v>
      </c>
      <c r="C539" s="4" t="s">
        <v>226</v>
      </c>
      <c r="D539" s="4" t="s">
        <v>227</v>
      </c>
      <c r="E539" s="4" t="s">
        <v>228</v>
      </c>
      <c r="F539" s="4" t="s">
        <v>229</v>
      </c>
    </row>
    <row r="540">
      <c r="A540" s="22">
        <v>10114.0</v>
      </c>
      <c r="B540" s="22">
        <v>1.0</v>
      </c>
      <c r="C540" s="23" t="s">
        <v>263</v>
      </c>
      <c r="D540" s="24" t="s">
        <v>267</v>
      </c>
      <c r="E540" s="22">
        <v>0.0</v>
      </c>
      <c r="F540" s="22">
        <v>10.0</v>
      </c>
      <c r="G540" s="9" t="str">
        <f t="shared" ref="G540:H540" si="73">"[" &amp;E540&amp;","&amp;E541&amp;","&amp;E542&amp;","&amp;E543&amp;","&amp;E544&amp; "]"</f>
        <v>[0,0,0,0,0]</v>
      </c>
      <c r="H540" s="9" t="str">
        <f t="shared" si="73"/>
        <v>[10,16,22,34,50]</v>
      </c>
    </row>
    <row r="541">
      <c r="A541" s="21"/>
      <c r="B541" s="22">
        <v>2.0</v>
      </c>
      <c r="C541" s="23" t="s">
        <v>263</v>
      </c>
      <c r="D541" s="24" t="s">
        <v>267</v>
      </c>
      <c r="E541" s="22">
        <v>0.0</v>
      </c>
      <c r="F541" s="22">
        <v>16.0</v>
      </c>
    </row>
    <row r="542">
      <c r="A542" s="21"/>
      <c r="B542" s="22">
        <v>3.0</v>
      </c>
      <c r="C542" s="23" t="s">
        <v>263</v>
      </c>
      <c r="D542" s="24" t="s">
        <v>267</v>
      </c>
      <c r="E542" s="22">
        <v>0.0</v>
      </c>
      <c r="F542" s="22">
        <v>22.0</v>
      </c>
    </row>
    <row r="543">
      <c r="A543" s="21"/>
      <c r="B543" s="22">
        <v>4.0</v>
      </c>
      <c r="C543" s="23" t="s">
        <v>263</v>
      </c>
      <c r="D543" s="24" t="s">
        <v>267</v>
      </c>
      <c r="E543" s="22">
        <v>0.0</v>
      </c>
      <c r="F543" s="22">
        <v>34.0</v>
      </c>
    </row>
    <row r="544">
      <c r="A544" s="21"/>
      <c r="B544" s="22">
        <v>5.0</v>
      </c>
      <c r="C544" s="23" t="s">
        <v>263</v>
      </c>
      <c r="D544" s="24" t="s">
        <v>267</v>
      </c>
      <c r="E544" s="22">
        <v>0.0</v>
      </c>
      <c r="F544" s="22">
        <v>50.0</v>
      </c>
    </row>
    <row r="546">
      <c r="A546" s="10" t="str">
        <f>"# 스킬 idx " &amp;A548&amp; VLOOKUP(A548,SkillData!A$2:E$459,3,FALSE)</f>
        <v># 스킬 idx 1011530115</v>
      </c>
    </row>
    <row r="547">
      <c r="A547" s="4" t="s">
        <v>224</v>
      </c>
      <c r="B547" s="4" t="s">
        <v>225</v>
      </c>
      <c r="C547" s="4" t="s">
        <v>226</v>
      </c>
      <c r="D547" s="4" t="s">
        <v>227</v>
      </c>
      <c r="E547" s="4" t="s">
        <v>228</v>
      </c>
      <c r="F547" s="4" t="s">
        <v>229</v>
      </c>
    </row>
    <row r="548">
      <c r="A548" s="22">
        <v>10115.0</v>
      </c>
      <c r="B548" s="22">
        <v>1.0</v>
      </c>
      <c r="C548" s="23" t="s">
        <v>263</v>
      </c>
      <c r="D548" s="24" t="s">
        <v>268</v>
      </c>
      <c r="E548" s="22">
        <v>0.0</v>
      </c>
      <c r="F548" s="22">
        <v>10.0</v>
      </c>
      <c r="G548" s="9" t="str">
        <f t="shared" ref="G548:H548" si="74">"[" &amp;E548&amp;","&amp;E549&amp;","&amp;E550&amp;","&amp;E551&amp;","&amp;E552&amp; "]"</f>
        <v>[0,0,0,0,0]</v>
      </c>
      <c r="H548" s="9" t="str">
        <f t="shared" si="74"/>
        <v>[10,16,22,34,50]</v>
      </c>
    </row>
    <row r="549">
      <c r="A549" s="21"/>
      <c r="B549" s="22">
        <v>2.0</v>
      </c>
      <c r="C549" s="23" t="s">
        <v>263</v>
      </c>
      <c r="D549" s="24" t="s">
        <v>268</v>
      </c>
      <c r="E549" s="22">
        <v>0.0</v>
      </c>
      <c r="F549" s="22">
        <v>16.0</v>
      </c>
    </row>
    <row r="550">
      <c r="A550" s="21"/>
      <c r="B550" s="22">
        <v>3.0</v>
      </c>
      <c r="C550" s="23" t="s">
        <v>263</v>
      </c>
      <c r="D550" s="24" t="s">
        <v>268</v>
      </c>
      <c r="E550" s="22">
        <v>0.0</v>
      </c>
      <c r="F550" s="22">
        <v>22.0</v>
      </c>
    </row>
    <row r="551">
      <c r="A551" s="21"/>
      <c r="B551" s="22">
        <v>4.0</v>
      </c>
      <c r="C551" s="23" t="s">
        <v>263</v>
      </c>
      <c r="D551" s="24" t="s">
        <v>268</v>
      </c>
      <c r="E551" s="22">
        <v>0.0</v>
      </c>
      <c r="F551" s="22">
        <v>34.0</v>
      </c>
    </row>
    <row r="552">
      <c r="A552" s="21"/>
      <c r="B552" s="22">
        <v>5.0</v>
      </c>
      <c r="C552" s="23" t="s">
        <v>263</v>
      </c>
      <c r="D552" s="24" t="s">
        <v>268</v>
      </c>
      <c r="E552" s="22">
        <v>0.0</v>
      </c>
      <c r="F552" s="22">
        <v>50.0</v>
      </c>
    </row>
    <row r="554">
      <c r="A554" s="10" t="str">
        <f>"# 스킬 idx " &amp;A556&amp; VLOOKUP(A556,SkillData!A$2:E$459,3,FALSE)</f>
        <v># 스킬 idx 1011630116</v>
      </c>
    </row>
    <row r="555">
      <c r="A555" s="4" t="s">
        <v>224</v>
      </c>
      <c r="B555" s="4" t="s">
        <v>225</v>
      </c>
      <c r="C555" s="4" t="s">
        <v>226</v>
      </c>
      <c r="D555" s="4" t="s">
        <v>227</v>
      </c>
      <c r="E555" s="4" t="s">
        <v>228</v>
      </c>
      <c r="F555" s="4" t="s">
        <v>229</v>
      </c>
    </row>
    <row r="556">
      <c r="A556" s="22">
        <v>10116.0</v>
      </c>
      <c r="B556" s="22">
        <v>1.0</v>
      </c>
      <c r="C556" s="23" t="s">
        <v>263</v>
      </c>
      <c r="D556" s="24" t="s">
        <v>255</v>
      </c>
      <c r="E556" s="22">
        <v>0.0</v>
      </c>
      <c r="F556" s="22">
        <v>5.0</v>
      </c>
      <c r="G556" s="9" t="str">
        <f t="shared" ref="G556:H556" si="75">"[" &amp;E556&amp;","&amp;E557&amp;","&amp;E558&amp;","&amp;E559&amp;","&amp;E560&amp; "]"</f>
        <v>[0,0,0,0,0]</v>
      </c>
      <c r="H556" s="9" t="str">
        <f t="shared" si="75"/>
        <v>[5,8,14,20,30]</v>
      </c>
    </row>
    <row r="557">
      <c r="A557" s="21"/>
      <c r="B557" s="22">
        <v>2.0</v>
      </c>
      <c r="C557" s="23" t="s">
        <v>263</v>
      </c>
      <c r="D557" s="24" t="s">
        <v>255</v>
      </c>
      <c r="E557" s="22">
        <v>0.0</v>
      </c>
      <c r="F557" s="22">
        <v>8.0</v>
      </c>
    </row>
    <row r="558">
      <c r="A558" s="21"/>
      <c r="B558" s="22">
        <v>3.0</v>
      </c>
      <c r="C558" s="23" t="s">
        <v>263</v>
      </c>
      <c r="D558" s="24" t="s">
        <v>255</v>
      </c>
      <c r="E558" s="22">
        <v>0.0</v>
      </c>
      <c r="F558" s="22">
        <v>14.0</v>
      </c>
    </row>
    <row r="559">
      <c r="A559" s="21"/>
      <c r="B559" s="22">
        <v>4.0</v>
      </c>
      <c r="C559" s="23" t="s">
        <v>263</v>
      </c>
      <c r="D559" s="24" t="s">
        <v>255</v>
      </c>
      <c r="E559" s="22">
        <v>0.0</v>
      </c>
      <c r="F559" s="22">
        <v>20.0</v>
      </c>
    </row>
    <row r="560">
      <c r="A560" s="21"/>
      <c r="B560" s="22">
        <v>5.0</v>
      </c>
      <c r="C560" s="23" t="s">
        <v>263</v>
      </c>
      <c r="D560" s="24" t="s">
        <v>255</v>
      </c>
      <c r="E560" s="22">
        <v>0.0</v>
      </c>
      <c r="F560" s="22">
        <v>30.0</v>
      </c>
    </row>
    <row r="562">
      <c r="A562" s="10" t="str">
        <f>"# 스킬 idx " &amp;A564&amp; VLOOKUP(A564,SkillData!A$2:E$459,3,FALSE)</f>
        <v># 스킬 idx 1011730117</v>
      </c>
    </row>
    <row r="563">
      <c r="A563" s="4" t="s">
        <v>224</v>
      </c>
      <c r="B563" s="4" t="s">
        <v>225</v>
      </c>
      <c r="C563" s="4" t="s">
        <v>226</v>
      </c>
      <c r="D563" s="4" t="s">
        <v>227</v>
      </c>
      <c r="E563" s="4" t="s">
        <v>228</v>
      </c>
      <c r="F563" s="4" t="s">
        <v>229</v>
      </c>
    </row>
    <row r="564">
      <c r="A564" s="22">
        <v>10117.0</v>
      </c>
      <c r="B564" s="22">
        <v>1.0</v>
      </c>
      <c r="C564" s="23" t="s">
        <v>263</v>
      </c>
      <c r="D564" s="24" t="s">
        <v>255</v>
      </c>
      <c r="E564" s="22">
        <v>0.0</v>
      </c>
      <c r="F564" s="22">
        <v>10.0</v>
      </c>
      <c r="G564" s="9" t="str">
        <f t="shared" ref="G564:H564" si="76">"[" &amp;E564&amp;","&amp;E565&amp;","&amp;E566&amp;","&amp;E567&amp;","&amp;E568&amp; "]"</f>
        <v>[0,0,0,0,0]</v>
      </c>
      <c r="H564" s="9" t="str">
        <f t="shared" si="76"/>
        <v>[10,16,22,34,50]</v>
      </c>
    </row>
    <row r="565">
      <c r="A565" s="21"/>
      <c r="B565" s="22">
        <v>2.0</v>
      </c>
      <c r="C565" s="23" t="s">
        <v>263</v>
      </c>
      <c r="D565" s="24" t="s">
        <v>255</v>
      </c>
      <c r="E565" s="22">
        <v>0.0</v>
      </c>
      <c r="F565" s="22">
        <v>16.0</v>
      </c>
    </row>
    <row r="566">
      <c r="A566" s="21"/>
      <c r="B566" s="22">
        <v>3.0</v>
      </c>
      <c r="C566" s="23" t="s">
        <v>263</v>
      </c>
      <c r="D566" s="24" t="s">
        <v>255</v>
      </c>
      <c r="E566" s="22">
        <v>0.0</v>
      </c>
      <c r="F566" s="22">
        <v>22.0</v>
      </c>
    </row>
    <row r="567">
      <c r="A567" s="21"/>
      <c r="B567" s="22">
        <v>4.0</v>
      </c>
      <c r="C567" s="23" t="s">
        <v>263</v>
      </c>
      <c r="D567" s="24" t="s">
        <v>255</v>
      </c>
      <c r="E567" s="22">
        <v>0.0</v>
      </c>
      <c r="F567" s="22">
        <v>34.0</v>
      </c>
    </row>
    <row r="568">
      <c r="A568" s="21"/>
      <c r="B568" s="22">
        <v>5.0</v>
      </c>
      <c r="C568" s="23" t="s">
        <v>263</v>
      </c>
      <c r="D568" s="24" t="s">
        <v>255</v>
      </c>
      <c r="E568" s="22">
        <v>0.0</v>
      </c>
      <c r="F568" s="22">
        <v>50.0</v>
      </c>
    </row>
    <row r="570">
      <c r="A570" s="10" t="str">
        <f>"# 스킬 idx " &amp;A572&amp; VLOOKUP(A572,SkillData!A$2:E$459,3,FALSE)</f>
        <v># 스킬 idx 1011830118</v>
      </c>
    </row>
    <row r="571">
      <c r="A571" s="4" t="s">
        <v>224</v>
      </c>
      <c r="B571" s="4" t="s">
        <v>225</v>
      </c>
      <c r="C571" s="4" t="s">
        <v>226</v>
      </c>
      <c r="D571" s="4" t="s">
        <v>227</v>
      </c>
      <c r="E571" s="4" t="s">
        <v>228</v>
      </c>
      <c r="F571" s="4" t="s">
        <v>229</v>
      </c>
    </row>
    <row r="572">
      <c r="A572" s="22">
        <v>10118.0</v>
      </c>
      <c r="B572" s="22">
        <v>1.0</v>
      </c>
      <c r="C572" s="23" t="s">
        <v>263</v>
      </c>
      <c r="D572" s="24" t="s">
        <v>255</v>
      </c>
      <c r="E572" s="22">
        <v>0.0</v>
      </c>
      <c r="F572" s="22">
        <v>10.0</v>
      </c>
      <c r="G572" s="9" t="str">
        <f t="shared" ref="G572:H572" si="77">"[" &amp;E572&amp;","&amp;E573&amp;","&amp;E574&amp;","&amp;E575&amp;","&amp;E576&amp; "]"</f>
        <v>[0,0,0,0,0]</v>
      </c>
      <c r="H572" s="9" t="str">
        <f t="shared" si="77"/>
        <v>[10,16,22,34,50]</v>
      </c>
    </row>
    <row r="573">
      <c r="A573" s="21"/>
      <c r="B573" s="22">
        <v>2.0</v>
      </c>
      <c r="C573" s="23" t="s">
        <v>263</v>
      </c>
      <c r="D573" s="24" t="s">
        <v>255</v>
      </c>
      <c r="E573" s="22">
        <v>0.0</v>
      </c>
      <c r="F573" s="22">
        <v>16.0</v>
      </c>
    </row>
    <row r="574">
      <c r="A574" s="21"/>
      <c r="B574" s="22">
        <v>3.0</v>
      </c>
      <c r="C574" s="23" t="s">
        <v>263</v>
      </c>
      <c r="D574" s="24" t="s">
        <v>255</v>
      </c>
      <c r="E574" s="22">
        <v>0.0</v>
      </c>
      <c r="F574" s="22">
        <v>22.0</v>
      </c>
    </row>
    <row r="575">
      <c r="A575" s="21"/>
      <c r="B575" s="22">
        <v>4.0</v>
      </c>
      <c r="C575" s="23" t="s">
        <v>263</v>
      </c>
      <c r="D575" s="24" t="s">
        <v>255</v>
      </c>
      <c r="E575" s="22">
        <v>0.0</v>
      </c>
      <c r="F575" s="22">
        <v>34.0</v>
      </c>
    </row>
    <row r="576">
      <c r="A576" s="21"/>
      <c r="B576" s="22">
        <v>5.0</v>
      </c>
      <c r="C576" s="23" t="s">
        <v>263</v>
      </c>
      <c r="D576" s="24" t="s">
        <v>255</v>
      </c>
      <c r="E576" s="22">
        <v>0.0</v>
      </c>
      <c r="F576" s="22">
        <v>50.0</v>
      </c>
    </row>
    <row r="578">
      <c r="A578" s="10" t="str">
        <f>"# 스킬 idx " &amp;A580&amp; VLOOKUP(A580,SkillData!A$2:E$459,3,FALSE)</f>
        <v># 스킬 idx 1011930119</v>
      </c>
    </row>
    <row r="579">
      <c r="A579" s="4" t="s">
        <v>224</v>
      </c>
      <c r="B579" s="4" t="s">
        <v>225</v>
      </c>
      <c r="C579" s="4" t="s">
        <v>226</v>
      </c>
      <c r="D579" s="4" t="s">
        <v>227</v>
      </c>
      <c r="E579" s="4" t="s">
        <v>228</v>
      </c>
      <c r="F579" s="4" t="s">
        <v>229</v>
      </c>
    </row>
    <row r="580">
      <c r="A580" s="22">
        <v>10119.0</v>
      </c>
      <c r="B580" s="22">
        <v>1.0</v>
      </c>
      <c r="C580" s="23" t="s">
        <v>263</v>
      </c>
      <c r="D580" s="24" t="s">
        <v>262</v>
      </c>
      <c r="E580" s="22">
        <v>0.0</v>
      </c>
      <c r="F580" s="22">
        <v>5.0</v>
      </c>
      <c r="G580" s="9" t="str">
        <f t="shared" ref="G580:H580" si="78">"[" &amp;E580&amp;","&amp;E581&amp;","&amp;E582&amp;","&amp;E583&amp;","&amp;E584&amp; "]"</f>
        <v>[0,0,0,0,0]</v>
      </c>
      <c r="H580" s="9" t="str">
        <f t="shared" si="78"/>
        <v>[5,8,14,20,30]</v>
      </c>
    </row>
    <row r="581">
      <c r="A581" s="21"/>
      <c r="B581" s="22">
        <v>2.0</v>
      </c>
      <c r="C581" s="23" t="s">
        <v>263</v>
      </c>
      <c r="D581" s="24" t="s">
        <v>262</v>
      </c>
      <c r="E581" s="22">
        <v>0.0</v>
      </c>
      <c r="F581" s="22">
        <v>8.0</v>
      </c>
    </row>
    <row r="582">
      <c r="A582" s="21"/>
      <c r="B582" s="22">
        <v>3.0</v>
      </c>
      <c r="C582" s="23" t="s">
        <v>263</v>
      </c>
      <c r="D582" s="24" t="s">
        <v>262</v>
      </c>
      <c r="E582" s="22">
        <v>0.0</v>
      </c>
      <c r="F582" s="22">
        <v>14.0</v>
      </c>
    </row>
    <row r="583">
      <c r="A583" s="21"/>
      <c r="B583" s="22">
        <v>4.0</v>
      </c>
      <c r="C583" s="23" t="s">
        <v>263</v>
      </c>
      <c r="D583" s="24" t="s">
        <v>262</v>
      </c>
      <c r="E583" s="22">
        <v>0.0</v>
      </c>
      <c r="F583" s="22">
        <v>20.0</v>
      </c>
    </row>
    <row r="584">
      <c r="A584" s="21"/>
      <c r="B584" s="22">
        <v>5.0</v>
      </c>
      <c r="C584" s="23" t="s">
        <v>263</v>
      </c>
      <c r="D584" s="24" t="s">
        <v>262</v>
      </c>
      <c r="E584" s="22">
        <v>0.0</v>
      </c>
      <c r="F584" s="22">
        <v>30.0</v>
      </c>
    </row>
    <row r="586">
      <c r="A586" s="10" t="str">
        <f>"# 스킬 idx " &amp;A588&amp; VLOOKUP(A588,SkillData!A$2:E$459,3,FALSE)</f>
        <v># 스킬 idx 1012030120</v>
      </c>
    </row>
    <row r="587">
      <c r="A587" s="4" t="s">
        <v>224</v>
      </c>
      <c r="B587" s="4" t="s">
        <v>225</v>
      </c>
      <c r="C587" s="4" t="s">
        <v>226</v>
      </c>
      <c r="D587" s="4" t="s">
        <v>227</v>
      </c>
      <c r="E587" s="4" t="s">
        <v>228</v>
      </c>
      <c r="F587" s="4" t="s">
        <v>229</v>
      </c>
    </row>
    <row r="588">
      <c r="A588" s="22">
        <v>10120.0</v>
      </c>
      <c r="B588" s="22">
        <v>1.0</v>
      </c>
      <c r="C588" s="23" t="s">
        <v>263</v>
      </c>
      <c r="D588" s="24" t="s">
        <v>262</v>
      </c>
      <c r="E588" s="22">
        <v>0.0</v>
      </c>
      <c r="F588" s="22">
        <v>10.0</v>
      </c>
      <c r="G588" s="9" t="str">
        <f t="shared" ref="G588:H588" si="79">"[" &amp;E588&amp;","&amp;E589&amp;","&amp;E590&amp;","&amp;E591&amp;","&amp;E592&amp; "]"</f>
        <v>[0,0,0,0,0]</v>
      </c>
      <c r="H588" s="9" t="str">
        <f t="shared" si="79"/>
        <v>[10,16,22,34,50]</v>
      </c>
    </row>
    <row r="589">
      <c r="A589" s="21"/>
      <c r="B589" s="22">
        <v>2.0</v>
      </c>
      <c r="C589" s="23" t="s">
        <v>263</v>
      </c>
      <c r="D589" s="24" t="s">
        <v>262</v>
      </c>
      <c r="E589" s="22">
        <v>0.0</v>
      </c>
      <c r="F589" s="22">
        <v>16.0</v>
      </c>
    </row>
    <row r="590">
      <c r="A590" s="21"/>
      <c r="B590" s="22">
        <v>3.0</v>
      </c>
      <c r="C590" s="23" t="s">
        <v>263</v>
      </c>
      <c r="D590" s="24" t="s">
        <v>262</v>
      </c>
      <c r="E590" s="22">
        <v>0.0</v>
      </c>
      <c r="F590" s="22">
        <v>22.0</v>
      </c>
    </row>
    <row r="591">
      <c r="A591" s="21"/>
      <c r="B591" s="22">
        <v>4.0</v>
      </c>
      <c r="C591" s="23" t="s">
        <v>263</v>
      </c>
      <c r="D591" s="24" t="s">
        <v>262</v>
      </c>
      <c r="E591" s="22">
        <v>0.0</v>
      </c>
      <c r="F591" s="22">
        <v>34.0</v>
      </c>
    </row>
    <row r="592">
      <c r="A592" s="21"/>
      <c r="B592" s="22">
        <v>5.0</v>
      </c>
      <c r="C592" s="23" t="s">
        <v>263</v>
      </c>
      <c r="D592" s="24" t="s">
        <v>262</v>
      </c>
      <c r="E592" s="22">
        <v>0.0</v>
      </c>
      <c r="F592" s="22">
        <v>50.0</v>
      </c>
    </row>
    <row r="594">
      <c r="A594" s="10" t="str">
        <f>"# 스킬 idx " &amp;A596&amp; VLOOKUP(A596,SkillData!A$2:E$459,3,FALSE)</f>
        <v># 스킬 idx 1012130121</v>
      </c>
    </row>
    <row r="595">
      <c r="A595" s="4" t="s">
        <v>224</v>
      </c>
      <c r="B595" s="4" t="s">
        <v>225</v>
      </c>
      <c r="C595" s="4" t="s">
        <v>226</v>
      </c>
      <c r="D595" s="4" t="s">
        <v>227</v>
      </c>
      <c r="E595" s="4" t="s">
        <v>228</v>
      </c>
      <c r="F595" s="4" t="s">
        <v>229</v>
      </c>
    </row>
    <row r="596">
      <c r="A596" s="22">
        <v>10121.0</v>
      </c>
      <c r="B596" s="22">
        <v>1.0</v>
      </c>
      <c r="C596" s="23" t="s">
        <v>263</v>
      </c>
      <c r="D596" s="24" t="s">
        <v>262</v>
      </c>
      <c r="E596" s="22">
        <v>0.0</v>
      </c>
      <c r="F596" s="22">
        <v>10.0</v>
      </c>
      <c r="G596" s="9" t="str">
        <f t="shared" ref="G596:H596" si="80">"[" &amp;E596&amp;","&amp;E597&amp;","&amp;E598&amp;","&amp;E599&amp;","&amp;E600&amp; "]"</f>
        <v>[0,0,0,0,0]</v>
      </c>
      <c r="H596" s="9" t="str">
        <f t="shared" si="80"/>
        <v>[10,16,22,34,50]</v>
      </c>
    </row>
    <row r="597">
      <c r="A597" s="21"/>
      <c r="B597" s="22">
        <v>2.0</v>
      </c>
      <c r="C597" s="23" t="s">
        <v>263</v>
      </c>
      <c r="D597" s="24" t="s">
        <v>262</v>
      </c>
      <c r="E597" s="22">
        <v>0.0</v>
      </c>
      <c r="F597" s="22">
        <v>16.0</v>
      </c>
    </row>
    <row r="598">
      <c r="A598" s="21"/>
      <c r="B598" s="22">
        <v>3.0</v>
      </c>
      <c r="C598" s="23" t="s">
        <v>263</v>
      </c>
      <c r="D598" s="24" t="s">
        <v>262</v>
      </c>
      <c r="E598" s="22">
        <v>0.0</v>
      </c>
      <c r="F598" s="22">
        <v>22.0</v>
      </c>
    </row>
    <row r="599">
      <c r="A599" s="21"/>
      <c r="B599" s="22">
        <v>4.0</v>
      </c>
      <c r="C599" s="23" t="s">
        <v>263</v>
      </c>
      <c r="D599" s="24" t="s">
        <v>262</v>
      </c>
      <c r="E599" s="22">
        <v>0.0</v>
      </c>
      <c r="F599" s="22">
        <v>34.0</v>
      </c>
    </row>
    <row r="600">
      <c r="A600" s="21"/>
      <c r="B600" s="22">
        <v>5.0</v>
      </c>
      <c r="C600" s="23" t="s">
        <v>263</v>
      </c>
      <c r="D600" s="24" t="s">
        <v>262</v>
      </c>
      <c r="E600" s="22">
        <v>0.0</v>
      </c>
      <c r="F600" s="22">
        <v>50.0</v>
      </c>
    </row>
    <row r="602">
      <c r="A602" s="10" t="str">
        <f>"# 스킬 idx " &amp;A604&amp; VLOOKUP(A604,SkillData!A$2:E$459,3,FALSE)</f>
        <v># 스킬 idx 1012230122</v>
      </c>
    </row>
    <row r="603">
      <c r="A603" s="4" t="s">
        <v>224</v>
      </c>
      <c r="B603" s="4" t="s">
        <v>225</v>
      </c>
      <c r="C603" s="4" t="s">
        <v>226</v>
      </c>
      <c r="D603" s="4" t="s">
        <v>227</v>
      </c>
      <c r="E603" s="4" t="s">
        <v>228</v>
      </c>
      <c r="F603" s="4" t="s">
        <v>229</v>
      </c>
    </row>
    <row r="604">
      <c r="A604" s="22">
        <v>10122.0</v>
      </c>
      <c r="B604" s="22">
        <v>1.0</v>
      </c>
      <c r="C604" s="23" t="s">
        <v>263</v>
      </c>
      <c r="D604" s="24" t="s">
        <v>269</v>
      </c>
      <c r="E604" s="22">
        <v>0.0</v>
      </c>
      <c r="F604" s="22">
        <v>5.0</v>
      </c>
      <c r="G604" s="9" t="str">
        <f t="shared" ref="G604:H604" si="81">"[" &amp;E604&amp;","&amp;E605&amp;","&amp;E606&amp;","&amp;E607&amp;","&amp;E608&amp; "]"</f>
        <v>[0,0,0,0,0]</v>
      </c>
      <c r="H604" s="9" t="str">
        <f t="shared" si="81"/>
        <v>[5,8,14,20,30]</v>
      </c>
    </row>
    <row r="605">
      <c r="A605" s="21"/>
      <c r="B605" s="22">
        <v>2.0</v>
      </c>
      <c r="C605" s="23" t="s">
        <v>263</v>
      </c>
      <c r="D605" s="24" t="s">
        <v>269</v>
      </c>
      <c r="E605" s="22">
        <v>0.0</v>
      </c>
      <c r="F605" s="22">
        <v>8.0</v>
      </c>
    </row>
    <row r="606">
      <c r="A606" s="21"/>
      <c r="B606" s="22">
        <v>3.0</v>
      </c>
      <c r="C606" s="23" t="s">
        <v>263</v>
      </c>
      <c r="D606" s="24" t="s">
        <v>269</v>
      </c>
      <c r="E606" s="22">
        <v>0.0</v>
      </c>
      <c r="F606" s="22">
        <v>14.0</v>
      </c>
    </row>
    <row r="607">
      <c r="A607" s="21"/>
      <c r="B607" s="22">
        <v>4.0</v>
      </c>
      <c r="C607" s="23" t="s">
        <v>263</v>
      </c>
      <c r="D607" s="24" t="s">
        <v>269</v>
      </c>
      <c r="E607" s="22">
        <v>0.0</v>
      </c>
      <c r="F607" s="22">
        <v>20.0</v>
      </c>
    </row>
    <row r="608">
      <c r="A608" s="21"/>
      <c r="B608" s="22">
        <v>5.0</v>
      </c>
      <c r="C608" s="23" t="s">
        <v>263</v>
      </c>
      <c r="D608" s="24" t="s">
        <v>269</v>
      </c>
      <c r="E608" s="22">
        <v>0.0</v>
      </c>
      <c r="F608" s="22">
        <v>30.0</v>
      </c>
    </row>
    <row r="610">
      <c r="A610" s="10" t="str">
        <f>"# 스킬 idx " &amp;A612&amp; VLOOKUP(A612,SkillData!A$2:E$459,3,FALSE)</f>
        <v># 스킬 idx 1012330123</v>
      </c>
    </row>
    <row r="611">
      <c r="A611" s="4" t="s">
        <v>224</v>
      </c>
      <c r="B611" s="4" t="s">
        <v>225</v>
      </c>
      <c r="C611" s="4" t="s">
        <v>226</v>
      </c>
      <c r="D611" s="4" t="s">
        <v>227</v>
      </c>
      <c r="E611" s="4" t="s">
        <v>228</v>
      </c>
      <c r="F611" s="4" t="s">
        <v>229</v>
      </c>
    </row>
    <row r="612">
      <c r="A612" s="22">
        <v>10123.0</v>
      </c>
      <c r="B612" s="22">
        <v>1.0</v>
      </c>
      <c r="C612" s="23" t="s">
        <v>263</v>
      </c>
      <c r="D612" s="24" t="s">
        <v>270</v>
      </c>
      <c r="E612" s="22">
        <v>0.0</v>
      </c>
      <c r="F612" s="22">
        <v>5.0</v>
      </c>
      <c r="G612" s="9" t="str">
        <f t="shared" ref="G612:H612" si="82">"[" &amp;E612&amp;","&amp;E613&amp;","&amp;E614&amp;","&amp;E615&amp;","&amp;E616&amp; "]"</f>
        <v>[0,0,0,0,0]</v>
      </c>
      <c r="H612" s="9" t="str">
        <f t="shared" si="82"/>
        <v>[5,8,14,20,30]</v>
      </c>
    </row>
    <row r="613">
      <c r="A613" s="21"/>
      <c r="B613" s="22">
        <v>2.0</v>
      </c>
      <c r="C613" s="23" t="s">
        <v>263</v>
      </c>
      <c r="D613" s="24" t="s">
        <v>270</v>
      </c>
      <c r="E613" s="22">
        <v>0.0</v>
      </c>
      <c r="F613" s="22">
        <v>8.0</v>
      </c>
    </row>
    <row r="614">
      <c r="A614" s="21"/>
      <c r="B614" s="22">
        <v>3.0</v>
      </c>
      <c r="C614" s="23" t="s">
        <v>263</v>
      </c>
      <c r="D614" s="24" t="s">
        <v>270</v>
      </c>
      <c r="E614" s="22">
        <v>0.0</v>
      </c>
      <c r="F614" s="22">
        <v>14.0</v>
      </c>
    </row>
    <row r="615">
      <c r="A615" s="21"/>
      <c r="B615" s="22">
        <v>4.0</v>
      </c>
      <c r="C615" s="23" t="s">
        <v>263</v>
      </c>
      <c r="D615" s="24" t="s">
        <v>270</v>
      </c>
      <c r="E615" s="22">
        <v>0.0</v>
      </c>
      <c r="F615" s="22">
        <v>20.0</v>
      </c>
    </row>
    <row r="616">
      <c r="A616" s="21"/>
      <c r="B616" s="22">
        <v>5.0</v>
      </c>
      <c r="C616" s="23" t="s">
        <v>263</v>
      </c>
      <c r="D616" s="24" t="s">
        <v>270</v>
      </c>
      <c r="E616" s="22">
        <v>0.0</v>
      </c>
      <c r="F616" s="22">
        <v>30.0</v>
      </c>
    </row>
    <row r="618">
      <c r="A618" s="10" t="str">
        <f>"# 스킬 idx " &amp;A620&amp; VLOOKUP(A620,SkillData!A$2:E$459,3,FALSE)</f>
        <v># 스킬 idx 1020130201</v>
      </c>
    </row>
    <row r="619">
      <c r="A619" s="4" t="s">
        <v>224</v>
      </c>
      <c r="B619" s="4" t="s">
        <v>225</v>
      </c>
      <c r="C619" s="4" t="s">
        <v>226</v>
      </c>
      <c r="D619" s="4" t="s">
        <v>227</v>
      </c>
      <c r="E619" s="4" t="s">
        <v>228</v>
      </c>
      <c r="F619" s="4" t="s">
        <v>229</v>
      </c>
    </row>
    <row r="620">
      <c r="A620" s="22">
        <v>10201.0</v>
      </c>
      <c r="B620" s="22">
        <v>1.0</v>
      </c>
      <c r="C620" s="23" t="s">
        <v>271</v>
      </c>
      <c r="D620" s="24" t="s">
        <v>272</v>
      </c>
      <c r="E620" s="22">
        <v>0.0</v>
      </c>
      <c r="F620" s="22">
        <v>5.0</v>
      </c>
      <c r="G620" s="9" t="str">
        <f t="shared" ref="G620:H620" si="83">"[" &amp;E620&amp;","&amp;E621&amp;","&amp;E622&amp;","&amp;E623&amp;","&amp;E624&amp; "]"</f>
        <v>[0,0,0,0,0]</v>
      </c>
      <c r="H620" s="9" t="str">
        <f t="shared" si="83"/>
        <v>[5,7,10,15,20]</v>
      </c>
    </row>
    <row r="621">
      <c r="A621" s="21"/>
      <c r="B621" s="22">
        <v>2.0</v>
      </c>
      <c r="C621" s="23" t="s">
        <v>271</v>
      </c>
      <c r="D621" s="24" t="s">
        <v>272</v>
      </c>
      <c r="E621" s="22">
        <v>0.0</v>
      </c>
      <c r="F621" s="22">
        <v>7.0</v>
      </c>
    </row>
    <row r="622">
      <c r="A622" s="21"/>
      <c r="B622" s="22">
        <v>3.0</v>
      </c>
      <c r="C622" s="23" t="s">
        <v>271</v>
      </c>
      <c r="D622" s="24" t="s">
        <v>272</v>
      </c>
      <c r="E622" s="22">
        <v>0.0</v>
      </c>
      <c r="F622" s="22">
        <v>10.0</v>
      </c>
    </row>
    <row r="623">
      <c r="A623" s="21"/>
      <c r="B623" s="22">
        <v>4.0</v>
      </c>
      <c r="C623" s="23" t="s">
        <v>271</v>
      </c>
      <c r="D623" s="24" t="s">
        <v>272</v>
      </c>
      <c r="E623" s="22">
        <v>0.0</v>
      </c>
      <c r="F623" s="22">
        <v>15.0</v>
      </c>
    </row>
    <row r="624">
      <c r="A624" s="21"/>
      <c r="B624" s="22">
        <v>5.0</v>
      </c>
      <c r="C624" s="23" t="s">
        <v>271</v>
      </c>
      <c r="D624" s="24" t="s">
        <v>272</v>
      </c>
      <c r="E624" s="22">
        <v>0.0</v>
      </c>
      <c r="F624" s="22">
        <v>20.0</v>
      </c>
    </row>
    <row r="626">
      <c r="A626" s="10" t="str">
        <f>"# 스킬 idx " &amp;A628&amp; VLOOKUP(A628,SkillData!A$2:E$459,3,FALSE)</f>
        <v># 스킬 idx 1020230202</v>
      </c>
    </row>
    <row r="627">
      <c r="A627" s="4" t="s">
        <v>224</v>
      </c>
      <c r="B627" s="4" t="s">
        <v>225</v>
      </c>
      <c r="C627" s="4" t="s">
        <v>226</v>
      </c>
      <c r="D627" s="4" t="s">
        <v>227</v>
      </c>
      <c r="E627" s="4" t="s">
        <v>228</v>
      </c>
      <c r="F627" s="4" t="s">
        <v>229</v>
      </c>
    </row>
    <row r="628">
      <c r="A628" s="22">
        <v>10202.0</v>
      </c>
      <c r="B628" s="22">
        <v>1.0</v>
      </c>
      <c r="C628" s="23" t="s">
        <v>271</v>
      </c>
      <c r="D628" s="24" t="s">
        <v>272</v>
      </c>
      <c r="E628" s="22">
        <v>0.0</v>
      </c>
      <c r="F628" s="22">
        <v>10.0</v>
      </c>
      <c r="G628" s="9" t="str">
        <f t="shared" ref="G628:H628" si="84">"[" &amp;E628&amp;","&amp;E629&amp;","&amp;E630&amp;","&amp;E631&amp;","&amp;E632&amp; "]"</f>
        <v>[0,0,0,0,0]</v>
      </c>
      <c r="H628" s="9" t="str">
        <f t="shared" si="84"/>
        <v>[10,14,20,30,40]</v>
      </c>
    </row>
    <row r="629">
      <c r="A629" s="21"/>
      <c r="B629" s="22">
        <v>2.0</v>
      </c>
      <c r="C629" s="23" t="s">
        <v>271</v>
      </c>
      <c r="D629" s="24" t="s">
        <v>272</v>
      </c>
      <c r="E629" s="22">
        <v>0.0</v>
      </c>
      <c r="F629" s="22">
        <v>14.0</v>
      </c>
    </row>
    <row r="630">
      <c r="A630" s="21"/>
      <c r="B630" s="22">
        <v>3.0</v>
      </c>
      <c r="C630" s="23" t="s">
        <v>271</v>
      </c>
      <c r="D630" s="24" t="s">
        <v>272</v>
      </c>
      <c r="E630" s="22">
        <v>0.0</v>
      </c>
      <c r="F630" s="22">
        <v>20.0</v>
      </c>
    </row>
    <row r="631">
      <c r="A631" s="21"/>
      <c r="B631" s="22">
        <v>4.0</v>
      </c>
      <c r="C631" s="23" t="s">
        <v>271</v>
      </c>
      <c r="D631" s="24" t="s">
        <v>272</v>
      </c>
      <c r="E631" s="22">
        <v>0.0</v>
      </c>
      <c r="F631" s="22">
        <v>30.0</v>
      </c>
    </row>
    <row r="632">
      <c r="A632" s="21"/>
      <c r="B632" s="22">
        <v>5.0</v>
      </c>
      <c r="C632" s="23" t="s">
        <v>271</v>
      </c>
      <c r="D632" s="24" t="s">
        <v>272</v>
      </c>
      <c r="E632" s="22">
        <v>0.0</v>
      </c>
      <c r="F632" s="22">
        <v>40.0</v>
      </c>
    </row>
    <row r="634">
      <c r="A634" s="10" t="str">
        <f>"# 스킬 idx " &amp;A636&amp; VLOOKUP(A636,SkillData!A$2:E$459,3,FALSE)</f>
        <v># 스킬 idx 1020330203</v>
      </c>
    </row>
    <row r="635">
      <c r="A635" s="4" t="s">
        <v>224</v>
      </c>
      <c r="B635" s="4" t="s">
        <v>225</v>
      </c>
      <c r="C635" s="4" t="s">
        <v>226</v>
      </c>
      <c r="D635" s="4" t="s">
        <v>227</v>
      </c>
      <c r="E635" s="4" t="s">
        <v>228</v>
      </c>
      <c r="F635" s="4" t="s">
        <v>229</v>
      </c>
    </row>
    <row r="636">
      <c r="A636" s="22">
        <v>10203.0</v>
      </c>
      <c r="B636" s="22">
        <v>1.0</v>
      </c>
      <c r="C636" s="23" t="s">
        <v>271</v>
      </c>
      <c r="D636" s="24" t="s">
        <v>273</v>
      </c>
      <c r="E636" s="22">
        <v>0.0</v>
      </c>
      <c r="F636" s="22">
        <v>5.0</v>
      </c>
      <c r="G636" s="9" t="str">
        <f t="shared" ref="G636:H636" si="85">"[" &amp;E636&amp;","&amp;E637&amp;","&amp;E638&amp;","&amp;E639&amp;","&amp;E640&amp; "]"</f>
        <v>[0,0,0,0,0]</v>
      </c>
      <c r="H636" s="9" t="str">
        <f t="shared" si="85"/>
        <v>[5,7,10,15,20]</v>
      </c>
    </row>
    <row r="637">
      <c r="A637" s="21"/>
      <c r="B637" s="22">
        <v>2.0</v>
      </c>
      <c r="C637" s="23" t="s">
        <v>271</v>
      </c>
      <c r="D637" s="24" t="s">
        <v>273</v>
      </c>
      <c r="E637" s="22">
        <v>0.0</v>
      </c>
      <c r="F637" s="22">
        <v>7.0</v>
      </c>
    </row>
    <row r="638">
      <c r="A638" s="21"/>
      <c r="B638" s="22">
        <v>3.0</v>
      </c>
      <c r="C638" s="23" t="s">
        <v>271</v>
      </c>
      <c r="D638" s="24" t="s">
        <v>273</v>
      </c>
      <c r="E638" s="22">
        <v>0.0</v>
      </c>
      <c r="F638" s="22">
        <v>10.0</v>
      </c>
    </row>
    <row r="639">
      <c r="A639" s="21"/>
      <c r="B639" s="22">
        <v>4.0</v>
      </c>
      <c r="C639" s="23" t="s">
        <v>271</v>
      </c>
      <c r="D639" s="24" t="s">
        <v>273</v>
      </c>
      <c r="E639" s="22">
        <v>0.0</v>
      </c>
      <c r="F639" s="22">
        <v>15.0</v>
      </c>
    </row>
    <row r="640">
      <c r="A640" s="21"/>
      <c r="B640" s="22">
        <v>5.0</v>
      </c>
      <c r="C640" s="23" t="s">
        <v>271</v>
      </c>
      <c r="D640" s="24" t="s">
        <v>273</v>
      </c>
      <c r="E640" s="22">
        <v>0.0</v>
      </c>
      <c r="F640" s="22">
        <v>20.0</v>
      </c>
    </row>
    <row r="642">
      <c r="A642" s="10" t="str">
        <f>"# 스킬 idx " &amp;A644&amp; VLOOKUP(A644,SkillData!A$2:E$459,3,FALSE)</f>
        <v># 스킬 idx 1020430204</v>
      </c>
    </row>
    <row r="643">
      <c r="A643" s="4" t="s">
        <v>224</v>
      </c>
      <c r="B643" s="4" t="s">
        <v>225</v>
      </c>
      <c r="C643" s="4" t="s">
        <v>226</v>
      </c>
      <c r="D643" s="4" t="s">
        <v>227</v>
      </c>
      <c r="E643" s="4" t="s">
        <v>228</v>
      </c>
      <c r="F643" s="4" t="s">
        <v>229</v>
      </c>
    </row>
    <row r="644">
      <c r="A644" s="22">
        <v>10204.0</v>
      </c>
      <c r="B644" s="22">
        <v>1.0</v>
      </c>
      <c r="C644" s="23" t="s">
        <v>271</v>
      </c>
      <c r="D644" s="24" t="s">
        <v>273</v>
      </c>
      <c r="E644" s="22">
        <v>0.0</v>
      </c>
      <c r="F644" s="22">
        <v>10.0</v>
      </c>
      <c r="G644" s="9" t="str">
        <f t="shared" ref="G644:H644" si="86">"[" &amp;E644&amp;","&amp;E645&amp;","&amp;E646&amp;","&amp;E647&amp;","&amp;E648&amp; "]"</f>
        <v>[0,0,0,0,0]</v>
      </c>
      <c r="H644" s="9" t="str">
        <f t="shared" si="86"/>
        <v>[10,14,20,30,40]</v>
      </c>
    </row>
    <row r="645">
      <c r="A645" s="21"/>
      <c r="B645" s="22">
        <v>2.0</v>
      </c>
      <c r="C645" s="23" t="s">
        <v>271</v>
      </c>
      <c r="D645" s="24" t="s">
        <v>273</v>
      </c>
      <c r="E645" s="22">
        <v>0.0</v>
      </c>
      <c r="F645" s="22">
        <v>14.0</v>
      </c>
    </row>
    <row r="646">
      <c r="A646" s="21"/>
      <c r="B646" s="22">
        <v>3.0</v>
      </c>
      <c r="C646" s="23" t="s">
        <v>271</v>
      </c>
      <c r="D646" s="24" t="s">
        <v>273</v>
      </c>
      <c r="E646" s="22">
        <v>0.0</v>
      </c>
      <c r="F646" s="22">
        <v>20.0</v>
      </c>
    </row>
    <row r="647">
      <c r="A647" s="21"/>
      <c r="B647" s="22">
        <v>4.0</v>
      </c>
      <c r="C647" s="23" t="s">
        <v>271</v>
      </c>
      <c r="D647" s="24" t="s">
        <v>273</v>
      </c>
      <c r="E647" s="22">
        <v>0.0</v>
      </c>
      <c r="F647" s="22">
        <v>30.0</v>
      </c>
    </row>
    <row r="648">
      <c r="A648" s="21"/>
      <c r="B648" s="22">
        <v>5.0</v>
      </c>
      <c r="C648" s="23" t="s">
        <v>271</v>
      </c>
      <c r="D648" s="24" t="s">
        <v>273</v>
      </c>
      <c r="E648" s="22">
        <v>0.0</v>
      </c>
      <c r="F648" s="22">
        <v>40.0</v>
      </c>
    </row>
    <row r="650">
      <c r="A650" s="10" t="str">
        <f>"# 스킬 idx " &amp;A652&amp; VLOOKUP(A652,SkillData!A$2:E$459,3,FALSE)</f>
        <v># 스킬 idx 1020530205</v>
      </c>
    </row>
    <row r="651">
      <c r="A651" s="4" t="s">
        <v>224</v>
      </c>
      <c r="B651" s="4" t="s">
        <v>225</v>
      </c>
      <c r="C651" s="4" t="s">
        <v>226</v>
      </c>
      <c r="D651" s="4" t="s">
        <v>227</v>
      </c>
      <c r="E651" s="4" t="s">
        <v>228</v>
      </c>
      <c r="F651" s="4" t="s">
        <v>229</v>
      </c>
    </row>
    <row r="652">
      <c r="A652" s="22">
        <v>10205.0</v>
      </c>
      <c r="B652" s="22">
        <v>1.0</v>
      </c>
      <c r="C652" s="23" t="s">
        <v>274</v>
      </c>
      <c r="D652" s="24" t="s">
        <v>273</v>
      </c>
      <c r="E652" s="22">
        <v>0.0</v>
      </c>
      <c r="F652" s="22">
        <v>5.0</v>
      </c>
      <c r="G652" s="9" t="str">
        <f t="shared" ref="G652:H652" si="87">"[" &amp;E652&amp;","&amp;E653&amp;","&amp;E654&amp;","&amp;E655&amp;","&amp;E656&amp; "]"</f>
        <v>[0,0,0,0,0]</v>
      </c>
      <c r="H652" s="9" t="str">
        <f t="shared" si="87"/>
        <v>[5,7,10,15,20]</v>
      </c>
    </row>
    <row r="653">
      <c r="A653" s="21"/>
      <c r="B653" s="22">
        <v>2.0</v>
      </c>
      <c r="C653" s="23" t="s">
        <v>274</v>
      </c>
      <c r="D653" s="24" t="s">
        <v>273</v>
      </c>
      <c r="E653" s="22">
        <v>0.0</v>
      </c>
      <c r="F653" s="22">
        <v>7.0</v>
      </c>
    </row>
    <row r="654">
      <c r="A654" s="21"/>
      <c r="B654" s="22">
        <v>3.0</v>
      </c>
      <c r="C654" s="23" t="s">
        <v>274</v>
      </c>
      <c r="D654" s="24" t="s">
        <v>273</v>
      </c>
      <c r="E654" s="22">
        <v>0.0</v>
      </c>
      <c r="F654" s="22">
        <v>10.0</v>
      </c>
    </row>
    <row r="655">
      <c r="A655" s="21"/>
      <c r="B655" s="22">
        <v>4.0</v>
      </c>
      <c r="C655" s="23" t="s">
        <v>274</v>
      </c>
      <c r="D655" s="24" t="s">
        <v>273</v>
      </c>
      <c r="E655" s="22">
        <v>0.0</v>
      </c>
      <c r="F655" s="22">
        <v>15.0</v>
      </c>
    </row>
    <row r="656">
      <c r="A656" s="21"/>
      <c r="B656" s="22">
        <v>5.0</v>
      </c>
      <c r="C656" s="23" t="s">
        <v>274</v>
      </c>
      <c r="D656" s="24" t="s">
        <v>273</v>
      </c>
      <c r="E656" s="22">
        <v>0.0</v>
      </c>
      <c r="F656" s="22">
        <v>20.0</v>
      </c>
    </row>
    <row r="658">
      <c r="A658" s="10" t="str">
        <f>"# 스킬 idx " &amp;A660&amp; VLOOKUP(A660,SkillData!A$2:E$459,3,FALSE)</f>
        <v># 스킬 idx 1020630206</v>
      </c>
    </row>
    <row r="659">
      <c r="A659" s="4" t="s">
        <v>224</v>
      </c>
      <c r="B659" s="4" t="s">
        <v>225</v>
      </c>
      <c r="C659" s="4" t="s">
        <v>226</v>
      </c>
      <c r="D659" s="4" t="s">
        <v>227</v>
      </c>
      <c r="E659" s="4" t="s">
        <v>228</v>
      </c>
      <c r="F659" s="4" t="s">
        <v>229</v>
      </c>
    </row>
    <row r="660">
      <c r="A660" s="22">
        <v>10206.0</v>
      </c>
      <c r="B660" s="22">
        <v>1.0</v>
      </c>
      <c r="C660" s="23" t="s">
        <v>274</v>
      </c>
      <c r="D660" s="24" t="s">
        <v>273</v>
      </c>
      <c r="E660" s="22">
        <v>0.0</v>
      </c>
      <c r="F660" s="22">
        <v>10.0</v>
      </c>
      <c r="G660" s="9" t="str">
        <f t="shared" ref="G660:H660" si="88">"[" &amp;E660&amp;","&amp;E661&amp;","&amp;E662&amp;","&amp;E663&amp;","&amp;E664&amp; "]"</f>
        <v>[0,0,0,0,0]</v>
      </c>
      <c r="H660" s="9" t="str">
        <f t="shared" si="88"/>
        <v>[10,14,20,30,40]</v>
      </c>
    </row>
    <row r="661">
      <c r="A661" s="21"/>
      <c r="B661" s="22">
        <v>2.0</v>
      </c>
      <c r="C661" s="23" t="s">
        <v>274</v>
      </c>
      <c r="D661" s="24" t="s">
        <v>273</v>
      </c>
      <c r="E661" s="22">
        <v>0.0</v>
      </c>
      <c r="F661" s="22">
        <v>14.0</v>
      </c>
    </row>
    <row r="662">
      <c r="A662" s="21"/>
      <c r="B662" s="22">
        <v>3.0</v>
      </c>
      <c r="C662" s="23" t="s">
        <v>274</v>
      </c>
      <c r="D662" s="24" t="s">
        <v>273</v>
      </c>
      <c r="E662" s="22">
        <v>0.0</v>
      </c>
      <c r="F662" s="22">
        <v>20.0</v>
      </c>
    </row>
    <row r="663">
      <c r="A663" s="21"/>
      <c r="B663" s="22">
        <v>4.0</v>
      </c>
      <c r="C663" s="23" t="s">
        <v>274</v>
      </c>
      <c r="D663" s="24" t="s">
        <v>273</v>
      </c>
      <c r="E663" s="22">
        <v>0.0</v>
      </c>
      <c r="F663" s="22">
        <v>30.0</v>
      </c>
    </row>
    <row r="664">
      <c r="A664" s="21"/>
      <c r="B664" s="22">
        <v>5.0</v>
      </c>
      <c r="C664" s="23" t="s">
        <v>274</v>
      </c>
      <c r="D664" s="24" t="s">
        <v>273</v>
      </c>
      <c r="E664" s="22">
        <v>0.0</v>
      </c>
      <c r="F664" s="22">
        <v>40.0</v>
      </c>
    </row>
    <row r="666">
      <c r="A666" s="10" t="str">
        <f>"# 스킬 idx " &amp;A668&amp; VLOOKUP(A668,SkillData!A$2:E$459,3,FALSE)</f>
        <v># 스킬 idx 1020730207</v>
      </c>
    </row>
    <row r="667">
      <c r="A667" s="4" t="s">
        <v>224</v>
      </c>
      <c r="B667" s="4" t="s">
        <v>225</v>
      </c>
      <c r="C667" s="4" t="s">
        <v>226</v>
      </c>
      <c r="D667" s="4" t="s">
        <v>227</v>
      </c>
      <c r="E667" s="4" t="s">
        <v>228</v>
      </c>
      <c r="F667" s="4" t="s">
        <v>229</v>
      </c>
    </row>
    <row r="668">
      <c r="A668" s="22">
        <v>10207.0</v>
      </c>
      <c r="B668" s="22">
        <v>1.0</v>
      </c>
      <c r="C668" s="23" t="s">
        <v>271</v>
      </c>
      <c r="D668" s="24" t="s">
        <v>275</v>
      </c>
      <c r="E668" s="22">
        <v>0.0</v>
      </c>
      <c r="F668" s="22">
        <v>5.0</v>
      </c>
      <c r="G668" s="9" t="str">
        <f t="shared" ref="G668:H668" si="89">"[" &amp;E668&amp;","&amp;E669&amp;","&amp;E670&amp;","&amp;E671&amp;","&amp;E672&amp; "]"</f>
        <v>[0,0,0,0,0]</v>
      </c>
      <c r="H668" s="9" t="str">
        <f t="shared" si="89"/>
        <v>[5,7,10,15,20]</v>
      </c>
    </row>
    <row r="669">
      <c r="A669" s="21"/>
      <c r="B669" s="22">
        <v>2.0</v>
      </c>
      <c r="C669" s="23" t="s">
        <v>271</v>
      </c>
      <c r="D669" s="24" t="s">
        <v>275</v>
      </c>
      <c r="E669" s="22">
        <v>0.0</v>
      </c>
      <c r="F669" s="22">
        <v>7.0</v>
      </c>
    </row>
    <row r="670">
      <c r="A670" s="21"/>
      <c r="B670" s="22">
        <v>3.0</v>
      </c>
      <c r="C670" s="23" t="s">
        <v>271</v>
      </c>
      <c r="D670" s="24" t="s">
        <v>275</v>
      </c>
      <c r="E670" s="22">
        <v>0.0</v>
      </c>
      <c r="F670" s="22">
        <v>10.0</v>
      </c>
    </row>
    <row r="671">
      <c r="A671" s="21"/>
      <c r="B671" s="22">
        <v>4.0</v>
      </c>
      <c r="C671" s="23" t="s">
        <v>271</v>
      </c>
      <c r="D671" s="24" t="s">
        <v>275</v>
      </c>
      <c r="E671" s="22">
        <v>0.0</v>
      </c>
      <c r="F671" s="22">
        <v>15.0</v>
      </c>
    </row>
    <row r="672">
      <c r="A672" s="21"/>
      <c r="B672" s="22">
        <v>5.0</v>
      </c>
      <c r="C672" s="23" t="s">
        <v>271</v>
      </c>
      <c r="D672" s="24" t="s">
        <v>275</v>
      </c>
      <c r="E672" s="22">
        <v>0.0</v>
      </c>
      <c r="F672" s="22">
        <v>20.0</v>
      </c>
    </row>
    <row r="674">
      <c r="A674" s="10" t="str">
        <f>"# 스킬 idx " &amp;A676&amp; VLOOKUP(A676,SkillData!A$2:E$459,3,FALSE)</f>
        <v># 스킬 idx 1020830208</v>
      </c>
    </row>
    <row r="675">
      <c r="A675" s="4" t="s">
        <v>224</v>
      </c>
      <c r="B675" s="4" t="s">
        <v>225</v>
      </c>
      <c r="C675" s="4" t="s">
        <v>226</v>
      </c>
      <c r="D675" s="4" t="s">
        <v>227</v>
      </c>
      <c r="E675" s="4" t="s">
        <v>228</v>
      </c>
      <c r="F675" s="4" t="s">
        <v>229</v>
      </c>
    </row>
    <row r="676">
      <c r="A676" s="22">
        <v>10208.0</v>
      </c>
      <c r="B676" s="22">
        <v>1.0</v>
      </c>
      <c r="C676" s="23" t="s">
        <v>271</v>
      </c>
      <c r="D676" s="24" t="s">
        <v>275</v>
      </c>
      <c r="E676" s="22">
        <v>0.0</v>
      </c>
      <c r="F676" s="22">
        <v>10.0</v>
      </c>
      <c r="G676" s="9" t="str">
        <f t="shared" ref="G676:H676" si="90">"[" &amp;E676&amp;","&amp;E677&amp;","&amp;E678&amp;","&amp;E679&amp;","&amp;E680&amp; "]"</f>
        <v>[0,0,0,0,0]</v>
      </c>
      <c r="H676" s="9" t="str">
        <f t="shared" si="90"/>
        <v>[10,14,20,30,40]</v>
      </c>
    </row>
    <row r="677">
      <c r="A677" s="21"/>
      <c r="B677" s="22">
        <v>2.0</v>
      </c>
      <c r="C677" s="23" t="s">
        <v>271</v>
      </c>
      <c r="D677" s="24" t="s">
        <v>275</v>
      </c>
      <c r="E677" s="22">
        <v>0.0</v>
      </c>
      <c r="F677" s="22">
        <v>14.0</v>
      </c>
    </row>
    <row r="678">
      <c r="A678" s="21"/>
      <c r="B678" s="22">
        <v>3.0</v>
      </c>
      <c r="C678" s="23" t="s">
        <v>271</v>
      </c>
      <c r="D678" s="24" t="s">
        <v>275</v>
      </c>
      <c r="E678" s="22">
        <v>0.0</v>
      </c>
      <c r="F678" s="22">
        <v>20.0</v>
      </c>
    </row>
    <row r="679">
      <c r="A679" s="21"/>
      <c r="B679" s="22">
        <v>4.0</v>
      </c>
      <c r="C679" s="23" t="s">
        <v>271</v>
      </c>
      <c r="D679" s="24" t="s">
        <v>275</v>
      </c>
      <c r="E679" s="22">
        <v>0.0</v>
      </c>
      <c r="F679" s="22">
        <v>30.0</v>
      </c>
    </row>
    <row r="680">
      <c r="A680" s="21"/>
      <c r="B680" s="22">
        <v>5.0</v>
      </c>
      <c r="C680" s="23" t="s">
        <v>271</v>
      </c>
      <c r="D680" s="24" t="s">
        <v>275</v>
      </c>
      <c r="E680" s="22">
        <v>0.0</v>
      </c>
      <c r="F680" s="22">
        <v>40.0</v>
      </c>
    </row>
    <row r="682">
      <c r="A682" s="10" t="str">
        <f>"# 스킬 idx " &amp;A684&amp; VLOOKUP(A684,SkillData!A$2:E$459,3,FALSE)</f>
        <v># 스킬 idx 1020930209</v>
      </c>
    </row>
    <row r="683">
      <c r="A683" s="4" t="s">
        <v>224</v>
      </c>
      <c r="B683" s="4" t="s">
        <v>225</v>
      </c>
      <c r="C683" s="4" t="s">
        <v>226</v>
      </c>
      <c r="D683" s="4" t="s">
        <v>227</v>
      </c>
      <c r="E683" s="4" t="s">
        <v>228</v>
      </c>
      <c r="F683" s="4" t="s">
        <v>229</v>
      </c>
    </row>
    <row r="684">
      <c r="A684" s="22">
        <v>10209.0</v>
      </c>
      <c r="B684" s="22">
        <v>1.0</v>
      </c>
      <c r="C684" s="23" t="s">
        <v>274</v>
      </c>
      <c r="D684" s="24" t="s">
        <v>275</v>
      </c>
      <c r="E684" s="22">
        <v>0.0</v>
      </c>
      <c r="F684" s="22">
        <v>5.0</v>
      </c>
      <c r="G684" s="9" t="str">
        <f t="shared" ref="G684:H684" si="91">"[" &amp;E684&amp;","&amp;E685&amp;","&amp;E686&amp;","&amp;E687&amp;","&amp;E688&amp; "]"</f>
        <v>[0,0,0,0,0]</v>
      </c>
      <c r="H684" s="9" t="str">
        <f t="shared" si="91"/>
        <v>[5,7,10,15,20]</v>
      </c>
    </row>
    <row r="685">
      <c r="A685" s="21"/>
      <c r="B685" s="22">
        <v>2.0</v>
      </c>
      <c r="C685" s="23" t="s">
        <v>274</v>
      </c>
      <c r="D685" s="24" t="s">
        <v>275</v>
      </c>
      <c r="E685" s="22">
        <v>0.0</v>
      </c>
      <c r="F685" s="22">
        <v>7.0</v>
      </c>
    </row>
    <row r="686">
      <c r="A686" s="21"/>
      <c r="B686" s="22">
        <v>3.0</v>
      </c>
      <c r="C686" s="23" t="s">
        <v>274</v>
      </c>
      <c r="D686" s="24" t="s">
        <v>275</v>
      </c>
      <c r="E686" s="22">
        <v>0.0</v>
      </c>
      <c r="F686" s="22">
        <v>10.0</v>
      </c>
    </row>
    <row r="687">
      <c r="A687" s="21"/>
      <c r="B687" s="22">
        <v>4.0</v>
      </c>
      <c r="C687" s="23" t="s">
        <v>274</v>
      </c>
      <c r="D687" s="24" t="s">
        <v>275</v>
      </c>
      <c r="E687" s="22">
        <v>0.0</v>
      </c>
      <c r="F687" s="22">
        <v>15.0</v>
      </c>
    </row>
    <row r="688">
      <c r="A688" s="21"/>
      <c r="B688" s="22">
        <v>5.0</v>
      </c>
      <c r="C688" s="23" t="s">
        <v>274</v>
      </c>
      <c r="D688" s="24" t="s">
        <v>275</v>
      </c>
      <c r="E688" s="22">
        <v>0.0</v>
      </c>
      <c r="F688" s="22">
        <v>20.0</v>
      </c>
    </row>
    <row r="690">
      <c r="A690" s="10" t="str">
        <f>"# 스킬 idx " &amp;A692&amp; VLOOKUP(A692,SkillData!A$2:E$459,3,FALSE)</f>
        <v># 스킬 idx 1021030210</v>
      </c>
    </row>
    <row r="691">
      <c r="A691" s="4" t="s">
        <v>224</v>
      </c>
      <c r="B691" s="4" t="s">
        <v>225</v>
      </c>
      <c r="C691" s="4" t="s">
        <v>226</v>
      </c>
      <c r="D691" s="4" t="s">
        <v>227</v>
      </c>
      <c r="E691" s="4" t="s">
        <v>228</v>
      </c>
      <c r="F691" s="4" t="s">
        <v>229</v>
      </c>
    </row>
    <row r="692">
      <c r="A692" s="22">
        <v>10210.0</v>
      </c>
      <c r="B692" s="22">
        <v>1.0</v>
      </c>
      <c r="C692" s="23" t="s">
        <v>274</v>
      </c>
      <c r="D692" s="24" t="s">
        <v>275</v>
      </c>
      <c r="E692" s="22">
        <v>0.0</v>
      </c>
      <c r="F692" s="22">
        <v>10.0</v>
      </c>
      <c r="G692" s="9" t="str">
        <f t="shared" ref="G692:H692" si="92">"[" &amp;E692&amp;","&amp;E693&amp;","&amp;E694&amp;","&amp;E695&amp;","&amp;E696&amp; "]"</f>
        <v>[0,0,0,0,0]</v>
      </c>
      <c r="H692" s="9" t="str">
        <f t="shared" si="92"/>
        <v>[10,14,20,30,40]</v>
      </c>
    </row>
    <row r="693">
      <c r="A693" s="21"/>
      <c r="B693" s="22">
        <v>2.0</v>
      </c>
      <c r="C693" s="23" t="s">
        <v>274</v>
      </c>
      <c r="D693" s="24" t="s">
        <v>275</v>
      </c>
      <c r="E693" s="22">
        <v>0.0</v>
      </c>
      <c r="F693" s="22">
        <v>14.0</v>
      </c>
    </row>
    <row r="694">
      <c r="A694" s="21"/>
      <c r="B694" s="22">
        <v>3.0</v>
      </c>
      <c r="C694" s="23" t="s">
        <v>274</v>
      </c>
      <c r="D694" s="24" t="s">
        <v>275</v>
      </c>
      <c r="E694" s="22">
        <v>0.0</v>
      </c>
      <c r="F694" s="22">
        <v>20.0</v>
      </c>
    </row>
    <row r="695">
      <c r="A695" s="21"/>
      <c r="B695" s="22">
        <v>4.0</v>
      </c>
      <c r="C695" s="23" t="s">
        <v>274</v>
      </c>
      <c r="D695" s="24" t="s">
        <v>275</v>
      </c>
      <c r="E695" s="22">
        <v>0.0</v>
      </c>
      <c r="F695" s="22">
        <v>30.0</v>
      </c>
    </row>
    <row r="696">
      <c r="A696" s="21"/>
      <c r="B696" s="22">
        <v>5.0</v>
      </c>
      <c r="C696" s="23" t="s">
        <v>274</v>
      </c>
      <c r="D696" s="24" t="s">
        <v>275</v>
      </c>
      <c r="E696" s="22">
        <v>0.0</v>
      </c>
      <c r="F696" s="22">
        <v>40.0</v>
      </c>
    </row>
    <row r="698">
      <c r="A698" s="10" t="str">
        <f>"# 스킬 idx " &amp;A700&amp; VLOOKUP(A700,SkillData!A$2:E$459,3,FALSE)</f>
        <v># 스킬 idx 1021130211</v>
      </c>
    </row>
    <row r="699">
      <c r="A699" s="4" t="s">
        <v>224</v>
      </c>
      <c r="B699" s="4" t="s">
        <v>225</v>
      </c>
      <c r="C699" s="4" t="s">
        <v>226</v>
      </c>
      <c r="D699" s="4" t="s">
        <v>227</v>
      </c>
      <c r="E699" s="4" t="s">
        <v>228</v>
      </c>
      <c r="F699" s="4" t="s">
        <v>229</v>
      </c>
    </row>
    <row r="700">
      <c r="A700" s="22">
        <v>10211.0</v>
      </c>
      <c r="B700" s="22">
        <v>1.0</v>
      </c>
      <c r="C700" s="23" t="s">
        <v>276</v>
      </c>
      <c r="D700" s="24" t="s">
        <v>272</v>
      </c>
      <c r="E700" s="22">
        <v>25.0</v>
      </c>
      <c r="F700" s="22">
        <v>0.0</v>
      </c>
      <c r="G700" s="9" t="str">
        <f t="shared" ref="G700:H700" si="93">"[" &amp;E700&amp;","&amp;E701&amp;","&amp;E702&amp;","&amp;E703&amp;","&amp;E704&amp; "]"</f>
        <v>[25,35,50,75,100]</v>
      </c>
      <c r="H700" s="9" t="str">
        <f t="shared" si="93"/>
        <v>[0,0,0,0,0]</v>
      </c>
    </row>
    <row r="701">
      <c r="A701" s="21"/>
      <c r="B701" s="22">
        <v>2.0</v>
      </c>
      <c r="C701" s="23" t="s">
        <v>276</v>
      </c>
      <c r="D701" s="24" t="s">
        <v>272</v>
      </c>
      <c r="E701" s="22">
        <v>35.0</v>
      </c>
      <c r="F701" s="22">
        <v>0.0</v>
      </c>
    </row>
    <row r="702">
      <c r="A702" s="21"/>
      <c r="B702" s="22">
        <v>3.0</v>
      </c>
      <c r="C702" s="23" t="s">
        <v>276</v>
      </c>
      <c r="D702" s="24" t="s">
        <v>272</v>
      </c>
      <c r="E702" s="22">
        <v>50.0</v>
      </c>
      <c r="F702" s="22">
        <v>0.0</v>
      </c>
    </row>
    <row r="703">
      <c r="A703" s="21"/>
      <c r="B703" s="22">
        <v>4.0</v>
      </c>
      <c r="C703" s="23" t="s">
        <v>276</v>
      </c>
      <c r="D703" s="24" t="s">
        <v>272</v>
      </c>
      <c r="E703" s="22">
        <v>75.0</v>
      </c>
      <c r="F703" s="22">
        <v>0.0</v>
      </c>
    </row>
    <row r="704">
      <c r="A704" s="21"/>
      <c r="B704" s="22">
        <v>5.0</v>
      </c>
      <c r="C704" s="23" t="s">
        <v>276</v>
      </c>
      <c r="D704" s="24" t="s">
        <v>272</v>
      </c>
      <c r="E704" s="22">
        <v>100.0</v>
      </c>
      <c r="F704" s="22">
        <v>0.0</v>
      </c>
    </row>
    <row r="706">
      <c r="A706" s="10" t="str">
        <f>"# 스킬 idx " &amp;A708&amp; VLOOKUP(A708,SkillData!A$2:E$459,3,FALSE)</f>
        <v># 스킬 idx 1021230212</v>
      </c>
    </row>
    <row r="707">
      <c r="A707" s="4" t="s">
        <v>224</v>
      </c>
      <c r="B707" s="4" t="s">
        <v>225</v>
      </c>
      <c r="C707" s="4" t="s">
        <v>226</v>
      </c>
      <c r="D707" s="4" t="s">
        <v>227</v>
      </c>
      <c r="E707" s="4" t="s">
        <v>228</v>
      </c>
      <c r="F707" s="4" t="s">
        <v>229</v>
      </c>
    </row>
    <row r="708">
      <c r="A708" s="22">
        <v>10212.0</v>
      </c>
      <c r="B708" s="22">
        <v>1.0</v>
      </c>
      <c r="C708" s="23" t="s">
        <v>276</v>
      </c>
      <c r="D708" s="24" t="s">
        <v>272</v>
      </c>
      <c r="E708" s="22">
        <v>5.0</v>
      </c>
      <c r="F708" s="22">
        <v>0.0</v>
      </c>
      <c r="G708" s="9" t="str">
        <f t="shared" ref="G708:H708" si="94">"[" &amp;E708&amp;","&amp;E709&amp;","&amp;E710&amp;","&amp;E711&amp;","&amp;E712&amp; "]"</f>
        <v>[5,10,15,20,40]</v>
      </c>
      <c r="H708" s="9" t="str">
        <f t="shared" si="94"/>
        <v>[0,0,0,0,0]</v>
      </c>
    </row>
    <row r="709">
      <c r="A709" s="21"/>
      <c r="B709" s="22">
        <v>2.0</v>
      </c>
      <c r="C709" s="23" t="s">
        <v>276</v>
      </c>
      <c r="D709" s="24" t="s">
        <v>272</v>
      </c>
      <c r="E709" s="22">
        <v>10.0</v>
      </c>
      <c r="F709" s="22">
        <v>0.0</v>
      </c>
    </row>
    <row r="710">
      <c r="A710" s="21"/>
      <c r="B710" s="22">
        <v>3.0</v>
      </c>
      <c r="C710" s="23" t="s">
        <v>276</v>
      </c>
      <c r="D710" s="24" t="s">
        <v>272</v>
      </c>
      <c r="E710" s="22">
        <v>15.0</v>
      </c>
      <c r="F710" s="22">
        <v>0.0</v>
      </c>
    </row>
    <row r="711">
      <c r="A711" s="21"/>
      <c r="B711" s="22">
        <v>4.0</v>
      </c>
      <c r="C711" s="23" t="s">
        <v>276</v>
      </c>
      <c r="D711" s="24" t="s">
        <v>272</v>
      </c>
      <c r="E711" s="22">
        <v>20.0</v>
      </c>
      <c r="F711" s="22">
        <v>0.0</v>
      </c>
    </row>
    <row r="712">
      <c r="A712" s="21"/>
      <c r="B712" s="22">
        <v>5.0</v>
      </c>
      <c r="C712" s="23" t="s">
        <v>276</v>
      </c>
      <c r="D712" s="24" t="s">
        <v>272</v>
      </c>
      <c r="E712" s="22">
        <v>40.0</v>
      </c>
      <c r="F712" s="22">
        <v>0.0</v>
      </c>
    </row>
    <row r="714">
      <c r="A714" s="10" t="str">
        <f>"# 스킬 idx " &amp;A716&amp; VLOOKUP(A716,SkillData!A$2:E$459,3,FALSE)</f>
        <v># 스킬 idx 1021330213</v>
      </c>
    </row>
    <row r="715">
      <c r="A715" s="4" t="s">
        <v>224</v>
      </c>
      <c r="B715" s="4" t="s">
        <v>225</v>
      </c>
      <c r="C715" s="4" t="s">
        <v>226</v>
      </c>
      <c r="D715" s="4" t="s">
        <v>227</v>
      </c>
      <c r="E715" s="4" t="s">
        <v>228</v>
      </c>
      <c r="F715" s="4" t="s">
        <v>229</v>
      </c>
    </row>
    <row r="716">
      <c r="A716" s="22">
        <v>10213.0</v>
      </c>
      <c r="B716" s="22">
        <v>1.0</v>
      </c>
      <c r="C716" s="23" t="s">
        <v>276</v>
      </c>
      <c r="D716" s="24" t="s">
        <v>272</v>
      </c>
      <c r="E716" s="22">
        <v>10.0</v>
      </c>
      <c r="F716" s="22">
        <v>0.0</v>
      </c>
      <c r="G716" s="9" t="str">
        <f t="shared" ref="G716:H716" si="95">"[" &amp;E716&amp;","&amp;E717&amp;","&amp;E718&amp;","&amp;E719&amp;","&amp;E720&amp; "]"</f>
        <v>[10,20,30,40,80]</v>
      </c>
      <c r="H716" s="9" t="str">
        <f t="shared" si="95"/>
        <v>[0,0,0,0,0]</v>
      </c>
    </row>
    <row r="717">
      <c r="A717" s="21"/>
      <c r="B717" s="22">
        <v>2.0</v>
      </c>
      <c r="C717" s="23" t="s">
        <v>276</v>
      </c>
      <c r="D717" s="24" t="s">
        <v>272</v>
      </c>
      <c r="E717" s="22">
        <v>20.0</v>
      </c>
      <c r="F717" s="22">
        <v>0.0</v>
      </c>
    </row>
    <row r="718">
      <c r="A718" s="21"/>
      <c r="B718" s="22">
        <v>3.0</v>
      </c>
      <c r="C718" s="23" t="s">
        <v>276</v>
      </c>
      <c r="D718" s="24" t="s">
        <v>272</v>
      </c>
      <c r="E718" s="22">
        <v>30.0</v>
      </c>
      <c r="F718" s="22">
        <v>0.0</v>
      </c>
    </row>
    <row r="719">
      <c r="A719" s="21"/>
      <c r="B719" s="22">
        <v>4.0</v>
      </c>
      <c r="C719" s="23" t="s">
        <v>276</v>
      </c>
      <c r="D719" s="24" t="s">
        <v>272</v>
      </c>
      <c r="E719" s="22">
        <v>40.0</v>
      </c>
      <c r="F719" s="22">
        <v>0.0</v>
      </c>
    </row>
    <row r="720">
      <c r="A720" s="21"/>
      <c r="B720" s="22">
        <v>5.0</v>
      </c>
      <c r="C720" s="23" t="s">
        <v>276</v>
      </c>
      <c r="D720" s="24" t="s">
        <v>272</v>
      </c>
      <c r="E720" s="22">
        <v>80.0</v>
      </c>
      <c r="F720" s="22">
        <v>0.0</v>
      </c>
    </row>
    <row r="722">
      <c r="A722" s="10" t="str">
        <f>"# 스킬 idx " &amp;A724&amp; VLOOKUP(A724,SkillData!A$2:E$459,3,FALSE)</f>
        <v># 스킬 idx 1021430214</v>
      </c>
    </row>
    <row r="723">
      <c r="A723" s="4" t="s">
        <v>224</v>
      </c>
      <c r="B723" s="4" t="s">
        <v>225</v>
      </c>
      <c r="C723" s="4" t="s">
        <v>226</v>
      </c>
      <c r="D723" s="4" t="s">
        <v>227</v>
      </c>
      <c r="E723" s="4" t="s">
        <v>228</v>
      </c>
      <c r="F723" s="4" t="s">
        <v>229</v>
      </c>
    </row>
    <row r="724">
      <c r="A724" s="22">
        <v>10214.0</v>
      </c>
      <c r="B724" s="22">
        <v>1.0</v>
      </c>
      <c r="C724" s="23" t="s">
        <v>276</v>
      </c>
      <c r="D724" s="24" t="s">
        <v>273</v>
      </c>
      <c r="E724" s="22">
        <v>20.0</v>
      </c>
      <c r="F724" s="22">
        <v>0.0</v>
      </c>
      <c r="G724" s="9" t="str">
        <f t="shared" ref="G724:H724" si="96">"[" &amp;E724&amp;","&amp;E725&amp;","&amp;E726&amp;","&amp;E727&amp;","&amp;E728&amp; "]"</f>
        <v>[20,30,45,75,100]</v>
      </c>
      <c r="H724" s="9" t="str">
        <f t="shared" si="96"/>
        <v>[0,0,0,0,0]</v>
      </c>
    </row>
    <row r="725">
      <c r="A725" s="21"/>
      <c r="B725" s="22">
        <v>2.0</v>
      </c>
      <c r="C725" s="23" t="s">
        <v>276</v>
      </c>
      <c r="D725" s="24" t="s">
        <v>273</v>
      </c>
      <c r="E725" s="22">
        <v>30.0</v>
      </c>
      <c r="F725" s="22">
        <v>0.0</v>
      </c>
    </row>
    <row r="726">
      <c r="A726" s="21"/>
      <c r="B726" s="22">
        <v>3.0</v>
      </c>
      <c r="C726" s="23" t="s">
        <v>276</v>
      </c>
      <c r="D726" s="24" t="s">
        <v>273</v>
      </c>
      <c r="E726" s="22">
        <v>45.0</v>
      </c>
      <c r="F726" s="22">
        <v>0.0</v>
      </c>
    </row>
    <row r="727">
      <c r="A727" s="21"/>
      <c r="B727" s="22">
        <v>4.0</v>
      </c>
      <c r="C727" s="23" t="s">
        <v>276</v>
      </c>
      <c r="D727" s="24" t="s">
        <v>273</v>
      </c>
      <c r="E727" s="22">
        <v>75.0</v>
      </c>
      <c r="F727" s="22">
        <v>0.0</v>
      </c>
    </row>
    <row r="728">
      <c r="A728" s="21"/>
      <c r="B728" s="22">
        <v>5.0</v>
      </c>
      <c r="C728" s="23" t="s">
        <v>276</v>
      </c>
      <c r="D728" s="24" t="s">
        <v>273</v>
      </c>
      <c r="E728" s="22">
        <v>100.0</v>
      </c>
      <c r="F728" s="22">
        <v>0.0</v>
      </c>
    </row>
    <row r="730">
      <c r="A730" s="10" t="str">
        <f>"# 스킬 idx " &amp;A732&amp; VLOOKUP(A732,SkillData!A$2:E$459,3,FALSE)</f>
        <v># 스킬 idx 1021530215</v>
      </c>
    </row>
    <row r="731">
      <c r="A731" s="4" t="s">
        <v>224</v>
      </c>
      <c r="B731" s="4" t="s">
        <v>225</v>
      </c>
      <c r="C731" s="4" t="s">
        <v>226</v>
      </c>
      <c r="D731" s="4" t="s">
        <v>227</v>
      </c>
      <c r="E731" s="4" t="s">
        <v>228</v>
      </c>
      <c r="F731" s="4" t="s">
        <v>229</v>
      </c>
    </row>
    <row r="732">
      <c r="A732" s="22">
        <v>10215.0</v>
      </c>
      <c r="B732" s="22">
        <v>1.0</v>
      </c>
      <c r="C732" s="23" t="s">
        <v>276</v>
      </c>
      <c r="D732" s="24" t="s">
        <v>273</v>
      </c>
      <c r="E732" s="22">
        <v>20.0</v>
      </c>
      <c r="F732" s="22">
        <v>0.0</v>
      </c>
      <c r="G732" s="9" t="str">
        <f t="shared" ref="G732:H732" si="97">"[" &amp;E732&amp;","&amp;E733&amp;","&amp;E734&amp;","&amp;E735&amp;","&amp;E736&amp; "]"</f>
        <v>[20,30,45,75,100]</v>
      </c>
      <c r="H732" s="9" t="str">
        <f t="shared" si="97"/>
        <v>[0,0,0,0,0]</v>
      </c>
    </row>
    <row r="733">
      <c r="A733" s="21"/>
      <c r="B733" s="22">
        <v>2.0</v>
      </c>
      <c r="C733" s="23" t="s">
        <v>276</v>
      </c>
      <c r="D733" s="24" t="s">
        <v>273</v>
      </c>
      <c r="E733" s="22">
        <v>30.0</v>
      </c>
      <c r="F733" s="22">
        <v>0.0</v>
      </c>
    </row>
    <row r="734">
      <c r="A734" s="21"/>
      <c r="B734" s="22">
        <v>3.0</v>
      </c>
      <c r="C734" s="23" t="s">
        <v>276</v>
      </c>
      <c r="D734" s="24" t="s">
        <v>273</v>
      </c>
      <c r="E734" s="22">
        <v>45.0</v>
      </c>
      <c r="F734" s="22">
        <v>0.0</v>
      </c>
    </row>
    <row r="735">
      <c r="A735" s="21"/>
      <c r="B735" s="22">
        <v>4.0</v>
      </c>
      <c r="C735" s="23" t="s">
        <v>276</v>
      </c>
      <c r="D735" s="24" t="s">
        <v>273</v>
      </c>
      <c r="E735" s="22">
        <v>75.0</v>
      </c>
      <c r="F735" s="22">
        <v>0.0</v>
      </c>
    </row>
    <row r="736">
      <c r="A736" s="21"/>
      <c r="B736" s="22">
        <v>5.0</v>
      </c>
      <c r="C736" s="23" t="s">
        <v>276</v>
      </c>
      <c r="D736" s="24" t="s">
        <v>273</v>
      </c>
      <c r="E736" s="22">
        <v>100.0</v>
      </c>
      <c r="F736" s="22">
        <v>0.0</v>
      </c>
    </row>
    <row r="737">
      <c r="B737" s="10"/>
      <c r="C737" s="25"/>
      <c r="D737" s="8"/>
      <c r="E737" s="10"/>
      <c r="F737" s="10"/>
    </row>
    <row r="738">
      <c r="A738" s="10" t="str">
        <f>"# 스킬 idx " &amp;A740&amp; VLOOKUP(A740,SkillData!A$2:E$459,3,FALSE)</f>
        <v># 스킬 idx 1021630216</v>
      </c>
    </row>
    <row r="739">
      <c r="A739" s="4" t="s">
        <v>224</v>
      </c>
      <c r="B739" s="4" t="s">
        <v>225</v>
      </c>
      <c r="C739" s="4" t="s">
        <v>226</v>
      </c>
      <c r="D739" s="4" t="s">
        <v>227</v>
      </c>
      <c r="E739" s="4" t="s">
        <v>228</v>
      </c>
      <c r="F739" s="4" t="s">
        <v>229</v>
      </c>
    </row>
    <row r="740">
      <c r="A740" s="22">
        <v>10216.0</v>
      </c>
      <c r="B740" s="22">
        <v>1.0</v>
      </c>
      <c r="C740" s="23" t="s">
        <v>276</v>
      </c>
      <c r="D740" s="24" t="s">
        <v>275</v>
      </c>
      <c r="E740" s="22">
        <v>20.0</v>
      </c>
      <c r="F740" s="22">
        <v>0.0</v>
      </c>
      <c r="G740" s="9" t="str">
        <f t="shared" ref="G740:H740" si="98">"[" &amp;E740&amp;","&amp;E741&amp;","&amp;E742&amp;","&amp;E743&amp;","&amp;E744&amp; "]"</f>
        <v>[20,30,45,75,100]</v>
      </c>
      <c r="H740" s="9" t="str">
        <f t="shared" si="98"/>
        <v>[0,0,0,0,0]</v>
      </c>
    </row>
    <row r="741">
      <c r="A741" s="21"/>
      <c r="B741" s="22">
        <v>2.0</v>
      </c>
      <c r="C741" s="23" t="s">
        <v>276</v>
      </c>
      <c r="D741" s="24" t="s">
        <v>275</v>
      </c>
      <c r="E741" s="22">
        <v>30.0</v>
      </c>
      <c r="F741" s="22">
        <v>0.0</v>
      </c>
    </row>
    <row r="742">
      <c r="A742" s="21"/>
      <c r="B742" s="22">
        <v>3.0</v>
      </c>
      <c r="C742" s="23" t="s">
        <v>276</v>
      </c>
      <c r="D742" s="24" t="s">
        <v>275</v>
      </c>
      <c r="E742" s="22">
        <v>45.0</v>
      </c>
      <c r="F742" s="22">
        <v>0.0</v>
      </c>
    </row>
    <row r="743">
      <c r="A743" s="21"/>
      <c r="B743" s="22">
        <v>4.0</v>
      </c>
      <c r="C743" s="23" t="s">
        <v>276</v>
      </c>
      <c r="D743" s="24" t="s">
        <v>275</v>
      </c>
      <c r="E743" s="22">
        <v>75.0</v>
      </c>
      <c r="F743" s="22">
        <v>0.0</v>
      </c>
    </row>
    <row r="744">
      <c r="A744" s="21"/>
      <c r="B744" s="22">
        <v>5.0</v>
      </c>
      <c r="C744" s="23" t="s">
        <v>276</v>
      </c>
      <c r="D744" s="24" t="s">
        <v>275</v>
      </c>
      <c r="E744" s="22">
        <v>100.0</v>
      </c>
      <c r="F744" s="22">
        <v>0.0</v>
      </c>
    </row>
    <row r="745">
      <c r="B745" s="10"/>
      <c r="C745" s="26"/>
      <c r="D745" s="26"/>
      <c r="E745" s="10"/>
      <c r="F745" s="10"/>
    </row>
    <row r="746">
      <c r="A746" s="10" t="str">
        <f>"# 스킬 idx " &amp;A748&amp; VLOOKUP(A748,SkillData!A$2:E$459,3,FALSE)</f>
        <v># 스킬 idx 1021730217</v>
      </c>
    </row>
    <row r="747">
      <c r="A747" s="4" t="s">
        <v>224</v>
      </c>
      <c r="B747" s="4" t="s">
        <v>225</v>
      </c>
      <c r="C747" s="4" t="s">
        <v>226</v>
      </c>
      <c r="D747" s="4" t="s">
        <v>227</v>
      </c>
      <c r="E747" s="4" t="s">
        <v>228</v>
      </c>
      <c r="F747" s="4" t="s">
        <v>229</v>
      </c>
    </row>
    <row r="748">
      <c r="A748" s="22">
        <v>10217.0</v>
      </c>
      <c r="B748" s="22">
        <v>1.0</v>
      </c>
      <c r="C748" s="23" t="s">
        <v>276</v>
      </c>
      <c r="D748" s="24" t="s">
        <v>275</v>
      </c>
      <c r="E748" s="22">
        <v>20.0</v>
      </c>
      <c r="F748" s="22">
        <v>0.0</v>
      </c>
      <c r="G748" s="9" t="str">
        <f t="shared" ref="G748:H748" si="99">"[" &amp;E748&amp;","&amp;E749&amp;","&amp;E750&amp;","&amp;E751&amp;","&amp;E752&amp; "]"</f>
        <v>[20,30,45,75,100]</v>
      </c>
      <c r="H748" s="9" t="str">
        <f t="shared" si="99"/>
        <v>[0,0,0,0,0]</v>
      </c>
    </row>
    <row r="749">
      <c r="A749" s="21"/>
      <c r="B749" s="22">
        <v>2.0</v>
      </c>
      <c r="C749" s="23" t="s">
        <v>276</v>
      </c>
      <c r="D749" s="24" t="s">
        <v>275</v>
      </c>
      <c r="E749" s="22">
        <v>30.0</v>
      </c>
      <c r="F749" s="22">
        <v>0.0</v>
      </c>
    </row>
    <row r="750">
      <c r="A750" s="21"/>
      <c r="B750" s="22">
        <v>3.0</v>
      </c>
      <c r="C750" s="23" t="s">
        <v>276</v>
      </c>
      <c r="D750" s="24" t="s">
        <v>275</v>
      </c>
      <c r="E750" s="22">
        <v>45.0</v>
      </c>
      <c r="F750" s="22">
        <v>0.0</v>
      </c>
    </row>
    <row r="751">
      <c r="A751" s="21"/>
      <c r="B751" s="22">
        <v>4.0</v>
      </c>
      <c r="C751" s="23" t="s">
        <v>276</v>
      </c>
      <c r="D751" s="24" t="s">
        <v>275</v>
      </c>
      <c r="E751" s="22">
        <v>75.0</v>
      </c>
      <c r="F751" s="22">
        <v>0.0</v>
      </c>
    </row>
    <row r="752">
      <c r="A752" s="21"/>
      <c r="B752" s="22">
        <v>5.0</v>
      </c>
      <c r="C752" s="23" t="s">
        <v>276</v>
      </c>
      <c r="D752" s="24" t="s">
        <v>275</v>
      </c>
      <c r="E752" s="22">
        <v>100.0</v>
      </c>
      <c r="F752" s="22">
        <v>0.0</v>
      </c>
    </row>
    <row r="753">
      <c r="B753" s="10"/>
      <c r="C753" s="26"/>
      <c r="D753" s="26"/>
      <c r="E753" s="10"/>
      <c r="F753" s="10"/>
    </row>
    <row r="754">
      <c r="A754" s="10" t="str">
        <f>"# 스킬 idx " &amp;A756&amp; VLOOKUP(A756,SkillData!A$2:E$459,3,FALSE)</f>
        <v># 스킬 idx 1021830218</v>
      </c>
    </row>
    <row r="755">
      <c r="A755" s="4" t="s">
        <v>224</v>
      </c>
      <c r="B755" s="4" t="s">
        <v>225</v>
      </c>
      <c r="C755" s="4" t="s">
        <v>226</v>
      </c>
      <c r="D755" s="4" t="s">
        <v>227</v>
      </c>
      <c r="E755" s="4" t="s">
        <v>228</v>
      </c>
      <c r="F755" s="4" t="s">
        <v>229</v>
      </c>
    </row>
    <row r="756">
      <c r="A756" s="22">
        <v>10218.0</v>
      </c>
      <c r="B756" s="22">
        <v>1.0</v>
      </c>
      <c r="C756" s="23" t="s">
        <v>276</v>
      </c>
      <c r="D756" s="24" t="s">
        <v>275</v>
      </c>
      <c r="E756" s="22">
        <v>20.0</v>
      </c>
      <c r="F756" s="22">
        <v>0.0</v>
      </c>
      <c r="G756" s="9" t="str">
        <f t="shared" ref="G756:H756" si="100">"[" &amp;E756&amp;","&amp;E757&amp;","&amp;E758&amp;","&amp;E759&amp;","&amp;E760&amp; "]"</f>
        <v>[20,30,45,75,100]</v>
      </c>
      <c r="H756" s="9" t="str">
        <f t="shared" si="100"/>
        <v>[0,0,0,0,0]</v>
      </c>
    </row>
    <row r="757">
      <c r="A757" s="21"/>
      <c r="B757" s="22">
        <v>2.0</v>
      </c>
      <c r="C757" s="23" t="s">
        <v>276</v>
      </c>
      <c r="D757" s="24" t="s">
        <v>275</v>
      </c>
      <c r="E757" s="22">
        <v>30.0</v>
      </c>
      <c r="F757" s="22">
        <v>0.0</v>
      </c>
    </row>
    <row r="758">
      <c r="A758" s="21"/>
      <c r="B758" s="22">
        <v>3.0</v>
      </c>
      <c r="C758" s="23" t="s">
        <v>276</v>
      </c>
      <c r="D758" s="24" t="s">
        <v>275</v>
      </c>
      <c r="E758" s="22">
        <v>45.0</v>
      </c>
      <c r="F758" s="22">
        <v>0.0</v>
      </c>
    </row>
    <row r="759">
      <c r="A759" s="21"/>
      <c r="B759" s="22">
        <v>4.0</v>
      </c>
      <c r="C759" s="23" t="s">
        <v>276</v>
      </c>
      <c r="D759" s="24" t="s">
        <v>275</v>
      </c>
      <c r="E759" s="22">
        <v>75.0</v>
      </c>
      <c r="F759" s="22">
        <v>0.0</v>
      </c>
    </row>
    <row r="760">
      <c r="A760" s="21"/>
      <c r="B760" s="22">
        <v>5.0</v>
      </c>
      <c r="C760" s="23" t="s">
        <v>276</v>
      </c>
      <c r="D760" s="24" t="s">
        <v>275</v>
      </c>
      <c r="E760" s="22">
        <v>100.0</v>
      </c>
      <c r="F760" s="22">
        <v>0.0</v>
      </c>
    </row>
    <row r="761">
      <c r="B761" s="10"/>
      <c r="C761" s="26"/>
      <c r="D761" s="26"/>
      <c r="E761" s="10"/>
      <c r="F761" s="10"/>
    </row>
    <row r="762">
      <c r="A762" s="10" t="str">
        <f>"# 스킬 idx " &amp;A764&amp; VLOOKUP(A764,SkillData!A$2:E$459,3,FALSE)</f>
        <v># 스킬 idx 1021930219</v>
      </c>
    </row>
    <row r="763">
      <c r="A763" s="4" t="s">
        <v>224</v>
      </c>
      <c r="B763" s="4" t="s">
        <v>225</v>
      </c>
      <c r="C763" s="4" t="s">
        <v>226</v>
      </c>
      <c r="D763" s="4" t="s">
        <v>227</v>
      </c>
      <c r="E763" s="4" t="s">
        <v>228</v>
      </c>
      <c r="F763" s="4" t="s">
        <v>229</v>
      </c>
    </row>
    <row r="764">
      <c r="A764" s="22">
        <v>10219.0</v>
      </c>
      <c r="B764" s="22">
        <v>1.0</v>
      </c>
      <c r="C764" s="23" t="s">
        <v>277</v>
      </c>
      <c r="D764" s="24" t="s">
        <v>272</v>
      </c>
      <c r="E764" s="22">
        <v>0.0</v>
      </c>
      <c r="F764" s="22">
        <v>5.0</v>
      </c>
      <c r="G764" s="9" t="str">
        <f t="shared" ref="G764:H764" si="101">"[" &amp;E764&amp;","&amp;E765&amp;","&amp;E766&amp;","&amp;E767&amp;","&amp;E768&amp; "]"</f>
        <v>[0,0,0,0,0]</v>
      </c>
      <c r="H764" s="9" t="str">
        <f t="shared" si="101"/>
        <v>[5,7,10,15,20]</v>
      </c>
    </row>
    <row r="765">
      <c r="A765" s="21"/>
      <c r="B765" s="22">
        <v>2.0</v>
      </c>
      <c r="C765" s="23" t="s">
        <v>277</v>
      </c>
      <c r="D765" s="24" t="s">
        <v>272</v>
      </c>
      <c r="E765" s="22">
        <v>0.0</v>
      </c>
      <c r="F765" s="22">
        <v>7.0</v>
      </c>
    </row>
    <row r="766">
      <c r="A766" s="21"/>
      <c r="B766" s="22">
        <v>3.0</v>
      </c>
      <c r="C766" s="23" t="s">
        <v>277</v>
      </c>
      <c r="D766" s="24" t="s">
        <v>272</v>
      </c>
      <c r="E766" s="22">
        <v>0.0</v>
      </c>
      <c r="F766" s="22">
        <v>10.0</v>
      </c>
    </row>
    <row r="767">
      <c r="A767" s="21"/>
      <c r="B767" s="22">
        <v>4.0</v>
      </c>
      <c r="C767" s="23" t="s">
        <v>277</v>
      </c>
      <c r="D767" s="24" t="s">
        <v>272</v>
      </c>
      <c r="E767" s="22">
        <v>0.0</v>
      </c>
      <c r="F767" s="22">
        <v>15.0</v>
      </c>
    </row>
    <row r="768">
      <c r="A768" s="21"/>
      <c r="B768" s="22">
        <v>5.0</v>
      </c>
      <c r="C768" s="23" t="s">
        <v>277</v>
      </c>
      <c r="D768" s="24" t="s">
        <v>272</v>
      </c>
      <c r="E768" s="22">
        <v>0.0</v>
      </c>
      <c r="F768" s="22">
        <v>20.0</v>
      </c>
    </row>
    <row r="770">
      <c r="A770" s="10" t="str">
        <f>"# 스킬 idx " &amp;A772&amp; VLOOKUP(A772,SkillData!A$2:E$459,3,FALSE)</f>
        <v># 스킬 idx 1022030220</v>
      </c>
    </row>
    <row r="771">
      <c r="A771" s="4" t="s">
        <v>224</v>
      </c>
      <c r="B771" s="4" t="s">
        <v>225</v>
      </c>
      <c r="C771" s="4" t="s">
        <v>226</v>
      </c>
      <c r="D771" s="4" t="s">
        <v>227</v>
      </c>
      <c r="E771" s="4" t="s">
        <v>228</v>
      </c>
      <c r="F771" s="4" t="s">
        <v>229</v>
      </c>
    </row>
    <row r="772">
      <c r="A772" s="22">
        <v>10220.0</v>
      </c>
      <c r="B772" s="22">
        <v>1.0</v>
      </c>
      <c r="C772" s="23" t="s">
        <v>277</v>
      </c>
      <c r="D772" s="24" t="s">
        <v>272</v>
      </c>
      <c r="E772" s="22">
        <v>0.0</v>
      </c>
      <c r="F772" s="22">
        <v>10.0</v>
      </c>
      <c r="G772" s="9" t="str">
        <f t="shared" ref="G772:H772" si="102">"[" &amp;E772&amp;","&amp;E773&amp;","&amp;E774&amp;","&amp;E775&amp;","&amp;E776&amp; "]"</f>
        <v>[0,0,0,0,0]</v>
      </c>
      <c r="H772" s="9" t="str">
        <f t="shared" si="102"/>
        <v>[10,14,20,30,40]</v>
      </c>
    </row>
    <row r="773">
      <c r="A773" s="21"/>
      <c r="B773" s="22">
        <v>2.0</v>
      </c>
      <c r="C773" s="23" t="s">
        <v>277</v>
      </c>
      <c r="D773" s="24" t="s">
        <v>272</v>
      </c>
      <c r="E773" s="22">
        <v>0.0</v>
      </c>
      <c r="F773" s="22">
        <v>14.0</v>
      </c>
    </row>
    <row r="774">
      <c r="A774" s="21"/>
      <c r="B774" s="22">
        <v>3.0</v>
      </c>
      <c r="C774" s="23" t="s">
        <v>277</v>
      </c>
      <c r="D774" s="24" t="s">
        <v>272</v>
      </c>
      <c r="E774" s="22">
        <v>0.0</v>
      </c>
      <c r="F774" s="22">
        <v>20.0</v>
      </c>
    </row>
    <row r="775">
      <c r="A775" s="21"/>
      <c r="B775" s="22">
        <v>4.0</v>
      </c>
      <c r="C775" s="23" t="s">
        <v>277</v>
      </c>
      <c r="D775" s="24" t="s">
        <v>272</v>
      </c>
      <c r="E775" s="22">
        <v>0.0</v>
      </c>
      <c r="F775" s="22">
        <v>30.0</v>
      </c>
    </row>
    <row r="776">
      <c r="A776" s="21"/>
      <c r="B776" s="22">
        <v>5.0</v>
      </c>
      <c r="C776" s="23" t="s">
        <v>277</v>
      </c>
      <c r="D776" s="24" t="s">
        <v>272</v>
      </c>
      <c r="E776" s="22">
        <v>0.0</v>
      </c>
      <c r="F776" s="22">
        <v>40.0</v>
      </c>
    </row>
    <row r="777">
      <c r="B777" s="10"/>
      <c r="C777" s="26"/>
      <c r="D777" s="26"/>
      <c r="E777" s="10"/>
      <c r="F777" s="10"/>
    </row>
    <row r="778">
      <c r="A778" s="10" t="str">
        <f>"# 스킬 idx " &amp;A780&amp; VLOOKUP(A780,SkillData!A$2:E$459,3,FALSE)</f>
        <v># 스킬 idx 1022130221</v>
      </c>
    </row>
    <row r="779">
      <c r="A779" s="4" t="s">
        <v>224</v>
      </c>
      <c r="B779" s="4" t="s">
        <v>225</v>
      </c>
      <c r="C779" s="4" t="s">
        <v>226</v>
      </c>
      <c r="D779" s="4" t="s">
        <v>227</v>
      </c>
      <c r="E779" s="4" t="s">
        <v>228</v>
      </c>
      <c r="F779" s="4" t="s">
        <v>229</v>
      </c>
    </row>
    <row r="780">
      <c r="A780" s="22">
        <v>10221.0</v>
      </c>
      <c r="B780" s="22">
        <v>1.0</v>
      </c>
      <c r="C780" s="23" t="s">
        <v>277</v>
      </c>
      <c r="D780" s="24" t="s">
        <v>273</v>
      </c>
      <c r="E780" s="22">
        <v>0.0</v>
      </c>
      <c r="F780" s="22">
        <v>5.0</v>
      </c>
      <c r="G780" s="9" t="str">
        <f t="shared" ref="G780:H780" si="103">"[" &amp;E780&amp;","&amp;E781&amp;","&amp;E782&amp;","&amp;E783&amp;","&amp;E784&amp; "]"</f>
        <v>[0,0,0,0,0]</v>
      </c>
      <c r="H780" s="9" t="str">
        <f t="shared" si="103"/>
        <v>[5,7,10,15,20]</v>
      </c>
    </row>
    <row r="781">
      <c r="A781" s="21"/>
      <c r="B781" s="22">
        <v>2.0</v>
      </c>
      <c r="C781" s="23" t="s">
        <v>277</v>
      </c>
      <c r="D781" s="24" t="s">
        <v>273</v>
      </c>
      <c r="E781" s="22">
        <v>0.0</v>
      </c>
      <c r="F781" s="22">
        <v>7.0</v>
      </c>
    </row>
    <row r="782">
      <c r="A782" s="21"/>
      <c r="B782" s="22">
        <v>3.0</v>
      </c>
      <c r="C782" s="23" t="s">
        <v>277</v>
      </c>
      <c r="D782" s="24" t="s">
        <v>273</v>
      </c>
      <c r="E782" s="22">
        <v>0.0</v>
      </c>
      <c r="F782" s="22">
        <v>10.0</v>
      </c>
    </row>
    <row r="783">
      <c r="A783" s="21"/>
      <c r="B783" s="22">
        <v>4.0</v>
      </c>
      <c r="C783" s="23" t="s">
        <v>277</v>
      </c>
      <c r="D783" s="24" t="s">
        <v>273</v>
      </c>
      <c r="E783" s="22">
        <v>0.0</v>
      </c>
      <c r="F783" s="22">
        <v>15.0</v>
      </c>
    </row>
    <row r="784">
      <c r="A784" s="21"/>
      <c r="B784" s="22">
        <v>5.0</v>
      </c>
      <c r="C784" s="23" t="s">
        <v>277</v>
      </c>
      <c r="D784" s="24" t="s">
        <v>273</v>
      </c>
      <c r="E784" s="22">
        <v>0.0</v>
      </c>
      <c r="F784" s="22">
        <v>20.0</v>
      </c>
    </row>
    <row r="786">
      <c r="A786" s="10" t="str">
        <f>"# 스킬 idx " &amp;A788&amp; VLOOKUP(A788,SkillData!A$2:E$459,3,FALSE)</f>
        <v># 스킬 idx 1022230222</v>
      </c>
    </row>
    <row r="787">
      <c r="A787" s="4" t="s">
        <v>224</v>
      </c>
      <c r="B787" s="4" t="s">
        <v>225</v>
      </c>
      <c r="C787" s="4" t="s">
        <v>226</v>
      </c>
      <c r="D787" s="4" t="s">
        <v>227</v>
      </c>
      <c r="E787" s="4" t="s">
        <v>228</v>
      </c>
      <c r="F787" s="4" t="s">
        <v>229</v>
      </c>
    </row>
    <row r="788">
      <c r="A788" s="22">
        <v>10222.0</v>
      </c>
      <c r="B788" s="22">
        <v>1.0</v>
      </c>
      <c r="C788" s="23" t="s">
        <v>277</v>
      </c>
      <c r="D788" s="24" t="s">
        <v>273</v>
      </c>
      <c r="E788" s="22">
        <v>0.0</v>
      </c>
      <c r="F788" s="22">
        <v>10.0</v>
      </c>
      <c r="G788" s="9" t="str">
        <f t="shared" ref="G788:H788" si="104">"[" &amp;E788&amp;","&amp;E789&amp;","&amp;E790&amp;","&amp;E791&amp;","&amp;E792&amp; "]"</f>
        <v>[0,0,0,0,0]</v>
      </c>
      <c r="H788" s="9" t="str">
        <f t="shared" si="104"/>
        <v>[10,14,20,30,40]</v>
      </c>
    </row>
    <row r="789">
      <c r="A789" s="21"/>
      <c r="B789" s="22">
        <v>2.0</v>
      </c>
      <c r="C789" s="23" t="s">
        <v>277</v>
      </c>
      <c r="D789" s="24" t="s">
        <v>273</v>
      </c>
      <c r="E789" s="22">
        <v>0.0</v>
      </c>
      <c r="F789" s="22">
        <v>14.0</v>
      </c>
    </row>
    <row r="790">
      <c r="A790" s="21"/>
      <c r="B790" s="22">
        <v>3.0</v>
      </c>
      <c r="C790" s="23" t="s">
        <v>277</v>
      </c>
      <c r="D790" s="24" t="s">
        <v>273</v>
      </c>
      <c r="E790" s="22">
        <v>0.0</v>
      </c>
      <c r="F790" s="22">
        <v>20.0</v>
      </c>
    </row>
    <row r="791">
      <c r="A791" s="21"/>
      <c r="B791" s="22">
        <v>4.0</v>
      </c>
      <c r="C791" s="23" t="s">
        <v>277</v>
      </c>
      <c r="D791" s="24" t="s">
        <v>273</v>
      </c>
      <c r="E791" s="22">
        <v>0.0</v>
      </c>
      <c r="F791" s="22">
        <v>30.0</v>
      </c>
    </row>
    <row r="792">
      <c r="A792" s="21"/>
      <c r="B792" s="22">
        <v>5.0</v>
      </c>
      <c r="C792" s="23" t="s">
        <v>277</v>
      </c>
      <c r="D792" s="24" t="s">
        <v>273</v>
      </c>
      <c r="E792" s="22">
        <v>0.0</v>
      </c>
      <c r="F792" s="22">
        <v>40.0</v>
      </c>
    </row>
    <row r="793">
      <c r="B793" s="10"/>
      <c r="C793" s="26"/>
      <c r="D793" s="26"/>
      <c r="E793" s="10"/>
      <c r="F793" s="10"/>
    </row>
    <row r="794">
      <c r="A794" s="10" t="str">
        <f>"# 스킬 idx " &amp;A796&amp; VLOOKUP(A796,SkillData!A$2:E$459,3,FALSE)</f>
        <v># 스킬 idx 1022330223</v>
      </c>
    </row>
    <row r="795">
      <c r="A795" s="4" t="s">
        <v>224</v>
      </c>
      <c r="B795" s="4" t="s">
        <v>225</v>
      </c>
      <c r="C795" s="4" t="s">
        <v>226</v>
      </c>
      <c r="D795" s="4" t="s">
        <v>227</v>
      </c>
      <c r="E795" s="4" t="s">
        <v>228</v>
      </c>
      <c r="F795" s="4" t="s">
        <v>229</v>
      </c>
    </row>
    <row r="796">
      <c r="A796" s="22">
        <v>10223.0</v>
      </c>
      <c r="B796" s="22">
        <v>1.0</v>
      </c>
      <c r="C796" s="23" t="s">
        <v>277</v>
      </c>
      <c r="D796" s="24" t="s">
        <v>275</v>
      </c>
      <c r="E796" s="22">
        <v>0.0</v>
      </c>
      <c r="F796" s="22">
        <v>5.0</v>
      </c>
      <c r="G796" s="9" t="str">
        <f t="shared" ref="G796:H796" si="105">"[" &amp;E796&amp;","&amp;E797&amp;","&amp;E798&amp;","&amp;E799&amp;","&amp;E800&amp; "]"</f>
        <v>[0,0,0,0,0]</v>
      </c>
      <c r="H796" s="9" t="str">
        <f t="shared" si="105"/>
        <v>[5,7,10,15,20]</v>
      </c>
    </row>
    <row r="797">
      <c r="A797" s="21"/>
      <c r="B797" s="22">
        <v>2.0</v>
      </c>
      <c r="C797" s="23" t="s">
        <v>277</v>
      </c>
      <c r="D797" s="24" t="s">
        <v>275</v>
      </c>
      <c r="E797" s="22">
        <v>0.0</v>
      </c>
      <c r="F797" s="22">
        <v>7.0</v>
      </c>
    </row>
    <row r="798">
      <c r="A798" s="21"/>
      <c r="B798" s="22">
        <v>3.0</v>
      </c>
      <c r="C798" s="23" t="s">
        <v>277</v>
      </c>
      <c r="D798" s="24" t="s">
        <v>275</v>
      </c>
      <c r="E798" s="22">
        <v>0.0</v>
      </c>
      <c r="F798" s="22">
        <v>10.0</v>
      </c>
    </row>
    <row r="799">
      <c r="A799" s="21"/>
      <c r="B799" s="22">
        <v>4.0</v>
      </c>
      <c r="C799" s="23" t="s">
        <v>277</v>
      </c>
      <c r="D799" s="24" t="s">
        <v>275</v>
      </c>
      <c r="E799" s="22">
        <v>0.0</v>
      </c>
      <c r="F799" s="22">
        <v>15.0</v>
      </c>
    </row>
    <row r="800">
      <c r="A800" s="21"/>
      <c r="B800" s="22">
        <v>5.0</v>
      </c>
      <c r="C800" s="23" t="s">
        <v>277</v>
      </c>
      <c r="D800" s="24" t="s">
        <v>275</v>
      </c>
      <c r="E800" s="22">
        <v>0.0</v>
      </c>
      <c r="F800" s="22">
        <v>20.0</v>
      </c>
    </row>
    <row r="802">
      <c r="A802" s="10" t="str">
        <f>"# 스킬 idx " &amp;A804&amp; VLOOKUP(A804,SkillData!A$2:E$459,3,FALSE)</f>
        <v># 스킬 idx 1022430224</v>
      </c>
    </row>
    <row r="803">
      <c r="A803" s="4" t="s">
        <v>224</v>
      </c>
      <c r="B803" s="4" t="s">
        <v>225</v>
      </c>
      <c r="C803" s="4" t="s">
        <v>226</v>
      </c>
      <c r="D803" s="4" t="s">
        <v>227</v>
      </c>
      <c r="E803" s="4" t="s">
        <v>228</v>
      </c>
      <c r="F803" s="4" t="s">
        <v>229</v>
      </c>
    </row>
    <row r="804">
      <c r="A804" s="22">
        <v>10224.0</v>
      </c>
      <c r="B804" s="22">
        <v>1.0</v>
      </c>
      <c r="C804" s="23" t="s">
        <v>277</v>
      </c>
      <c r="D804" s="24" t="s">
        <v>275</v>
      </c>
      <c r="E804" s="22">
        <v>0.0</v>
      </c>
      <c r="F804" s="22">
        <v>10.0</v>
      </c>
      <c r="G804" s="9" t="str">
        <f t="shared" ref="G804:H804" si="106">"[" &amp;E804&amp;","&amp;E805&amp;","&amp;E806&amp;","&amp;E807&amp;","&amp;E808&amp; "]"</f>
        <v>[0,0,0,0,0]</v>
      </c>
      <c r="H804" s="9" t="str">
        <f t="shared" si="106"/>
        <v>[10,14,20,30,40]</v>
      </c>
    </row>
    <row r="805">
      <c r="A805" s="21"/>
      <c r="B805" s="22">
        <v>2.0</v>
      </c>
      <c r="C805" s="23" t="s">
        <v>277</v>
      </c>
      <c r="D805" s="24" t="s">
        <v>275</v>
      </c>
      <c r="E805" s="22">
        <v>0.0</v>
      </c>
      <c r="F805" s="22">
        <v>14.0</v>
      </c>
    </row>
    <row r="806">
      <c r="A806" s="21"/>
      <c r="B806" s="22">
        <v>3.0</v>
      </c>
      <c r="C806" s="23" t="s">
        <v>277</v>
      </c>
      <c r="D806" s="24" t="s">
        <v>275</v>
      </c>
      <c r="E806" s="22">
        <v>0.0</v>
      </c>
      <c r="F806" s="22">
        <v>20.0</v>
      </c>
    </row>
    <row r="807">
      <c r="A807" s="21"/>
      <c r="B807" s="22">
        <v>4.0</v>
      </c>
      <c r="C807" s="23" t="s">
        <v>277</v>
      </c>
      <c r="D807" s="24" t="s">
        <v>275</v>
      </c>
      <c r="E807" s="22">
        <v>0.0</v>
      </c>
      <c r="F807" s="22">
        <v>30.0</v>
      </c>
    </row>
    <row r="808">
      <c r="A808" s="21"/>
      <c r="B808" s="22">
        <v>5.0</v>
      </c>
      <c r="C808" s="23" t="s">
        <v>277</v>
      </c>
      <c r="D808" s="24" t="s">
        <v>275</v>
      </c>
      <c r="E808" s="22">
        <v>0.0</v>
      </c>
      <c r="F808" s="22">
        <v>40.0</v>
      </c>
    </row>
    <row r="809">
      <c r="B809" s="10"/>
      <c r="C809" s="26"/>
      <c r="D809" s="26"/>
      <c r="E809" s="10"/>
      <c r="F809" s="10"/>
    </row>
    <row r="810">
      <c r="A810" s="10" t="str">
        <f>"# 스킬 idx " &amp;A812&amp; VLOOKUP(A812,SkillData!A$2:E$459,3,FALSE)</f>
        <v># 스킬 idx 1022530225</v>
      </c>
    </row>
    <row r="811">
      <c r="A811" s="4" t="s">
        <v>224</v>
      </c>
      <c r="B811" s="4" t="s">
        <v>225</v>
      </c>
      <c r="C811" s="4" t="s">
        <v>226</v>
      </c>
      <c r="D811" s="4" t="s">
        <v>227</v>
      </c>
      <c r="E811" s="4" t="s">
        <v>228</v>
      </c>
      <c r="F811" s="4" t="s">
        <v>229</v>
      </c>
    </row>
    <row r="812">
      <c r="A812" s="22">
        <v>10225.0</v>
      </c>
      <c r="B812" s="22">
        <v>1.0</v>
      </c>
      <c r="C812" s="23" t="s">
        <v>276</v>
      </c>
      <c r="D812" s="24" t="s">
        <v>278</v>
      </c>
      <c r="E812" s="22">
        <v>0.0</v>
      </c>
      <c r="F812" s="22">
        <v>0.0</v>
      </c>
      <c r="G812" s="10" t="str">
        <f t="shared" ref="G812:H812" si="107">"[" &amp;E812&amp; "]"</f>
        <v>[0]</v>
      </c>
      <c r="H812" s="10" t="str">
        <f t="shared" si="107"/>
        <v>[0]</v>
      </c>
    </row>
    <row r="813">
      <c r="B813" s="10"/>
      <c r="C813" s="26"/>
      <c r="D813" s="26"/>
      <c r="E813" s="10"/>
      <c r="F813" s="10"/>
    </row>
    <row r="814">
      <c r="A814" s="10" t="str">
        <f>"# 스킬 idx " &amp;A816&amp; VLOOKUP(A816,SkillData!A$2:E$459,3,FALSE)</f>
        <v># 스킬 idx 1022630226</v>
      </c>
    </row>
    <row r="815">
      <c r="A815" s="4" t="s">
        <v>224</v>
      </c>
      <c r="B815" s="4" t="s">
        <v>225</v>
      </c>
      <c r="C815" s="4" t="s">
        <v>226</v>
      </c>
      <c r="D815" s="4" t="s">
        <v>227</v>
      </c>
      <c r="E815" s="4" t="s">
        <v>228</v>
      </c>
      <c r="F815" s="4" t="s">
        <v>229</v>
      </c>
    </row>
    <row r="816">
      <c r="A816" s="22">
        <v>10226.0</v>
      </c>
      <c r="B816" s="22">
        <v>1.0</v>
      </c>
      <c r="C816" s="23" t="s">
        <v>276</v>
      </c>
      <c r="D816" s="24" t="s">
        <v>278</v>
      </c>
      <c r="E816" s="22">
        <v>0.0</v>
      </c>
      <c r="F816" s="22">
        <v>0.0</v>
      </c>
      <c r="G816" s="10" t="str">
        <f t="shared" ref="G816:H816" si="108">"[" &amp;E816&amp; "]"</f>
        <v>[0]</v>
      </c>
      <c r="H816" s="10" t="str">
        <f t="shared" si="108"/>
        <v>[0]</v>
      </c>
    </row>
    <row r="817">
      <c r="B817" s="10"/>
      <c r="C817" s="26"/>
      <c r="D817" s="26"/>
      <c r="E817" s="10"/>
      <c r="F817" s="10"/>
    </row>
    <row r="818">
      <c r="A818" s="10" t="str">
        <f>"# 스킬 idx " &amp;A820&amp; VLOOKUP(A820,SkillData!A$2:E$459,3,FALSE)</f>
        <v># 스킬 idx 1030130301</v>
      </c>
    </row>
    <row r="819">
      <c r="A819" s="4" t="s">
        <v>224</v>
      </c>
      <c r="B819" s="4" t="s">
        <v>225</v>
      </c>
      <c r="C819" s="4" t="s">
        <v>226</v>
      </c>
      <c r="D819" s="4" t="s">
        <v>227</v>
      </c>
      <c r="E819" s="4" t="s">
        <v>228</v>
      </c>
      <c r="F819" s="4" t="s">
        <v>229</v>
      </c>
    </row>
    <row r="820">
      <c r="A820" s="22">
        <v>10301.0</v>
      </c>
      <c r="B820" s="22">
        <v>1.0</v>
      </c>
      <c r="C820" s="23" t="s">
        <v>279</v>
      </c>
      <c r="D820" s="24" t="s">
        <v>280</v>
      </c>
      <c r="E820" s="22">
        <v>5.0</v>
      </c>
      <c r="F820" s="22">
        <v>0.0</v>
      </c>
      <c r="G820" s="9" t="str">
        <f t="shared" ref="G820:H820" si="109">"[" &amp;E820&amp;","&amp;E821&amp;","&amp;E822&amp;","&amp;E823&amp;","&amp;E824&amp; "]"</f>
        <v>[5,10,15,20,40]</v>
      </c>
      <c r="H820" s="9" t="str">
        <f t="shared" si="109"/>
        <v>[0,0,0,0,0]</v>
      </c>
    </row>
    <row r="821">
      <c r="A821" s="21"/>
      <c r="B821" s="22">
        <v>2.0</v>
      </c>
      <c r="C821" s="23" t="s">
        <v>279</v>
      </c>
      <c r="D821" s="24" t="s">
        <v>280</v>
      </c>
      <c r="E821" s="22">
        <v>10.0</v>
      </c>
      <c r="F821" s="22">
        <v>0.0</v>
      </c>
    </row>
    <row r="822">
      <c r="A822" s="21"/>
      <c r="B822" s="22">
        <v>3.0</v>
      </c>
      <c r="C822" s="23" t="s">
        <v>279</v>
      </c>
      <c r="D822" s="24" t="s">
        <v>280</v>
      </c>
      <c r="E822" s="22">
        <v>15.0</v>
      </c>
      <c r="F822" s="22">
        <v>0.0</v>
      </c>
    </row>
    <row r="823">
      <c r="A823" s="21"/>
      <c r="B823" s="22">
        <v>4.0</v>
      </c>
      <c r="C823" s="23" t="s">
        <v>279</v>
      </c>
      <c r="D823" s="24" t="s">
        <v>280</v>
      </c>
      <c r="E823" s="22">
        <v>20.0</v>
      </c>
      <c r="F823" s="22">
        <v>0.0</v>
      </c>
    </row>
    <row r="824">
      <c r="A824" s="21"/>
      <c r="B824" s="22">
        <v>5.0</v>
      </c>
      <c r="C824" s="23" t="s">
        <v>279</v>
      </c>
      <c r="D824" s="24" t="s">
        <v>280</v>
      </c>
      <c r="E824" s="22">
        <v>40.0</v>
      </c>
      <c r="F824" s="22">
        <v>0.0</v>
      </c>
    </row>
    <row r="825">
      <c r="B825" s="10"/>
      <c r="C825" s="26"/>
      <c r="D825" s="26"/>
      <c r="E825" s="10"/>
      <c r="F825" s="10"/>
    </row>
    <row r="826">
      <c r="A826" s="10" t="str">
        <f>"# 스킬 idx " &amp;A828&amp; VLOOKUP(A828,SkillData!A$2:E$459,3,FALSE)</f>
        <v># 스킬 idx 1030230302</v>
      </c>
    </row>
    <row r="827">
      <c r="A827" s="4" t="s">
        <v>224</v>
      </c>
      <c r="B827" s="4" t="s">
        <v>225</v>
      </c>
      <c r="C827" s="4" t="s">
        <v>226</v>
      </c>
      <c r="D827" s="4" t="s">
        <v>227</v>
      </c>
      <c r="E827" s="4" t="s">
        <v>228</v>
      </c>
      <c r="F827" s="4" t="s">
        <v>229</v>
      </c>
    </row>
    <row r="828">
      <c r="A828" s="22">
        <v>10302.0</v>
      </c>
      <c r="B828" s="22">
        <v>1.0</v>
      </c>
      <c r="C828" s="23" t="s">
        <v>279</v>
      </c>
      <c r="D828" s="24" t="s">
        <v>280</v>
      </c>
      <c r="E828" s="22">
        <v>10.0</v>
      </c>
      <c r="F828" s="22">
        <v>0.0</v>
      </c>
      <c r="G828" s="9" t="str">
        <f t="shared" ref="G828:H828" si="110">"[" &amp;E828&amp;","&amp;E829&amp;","&amp;E830&amp;","&amp;E831&amp;","&amp;E832&amp; "]"</f>
        <v>[10,20,30,40,80]</v>
      </c>
      <c r="H828" s="9" t="str">
        <f t="shared" si="110"/>
        <v>[0,0,0,0,0]</v>
      </c>
    </row>
    <row r="829">
      <c r="A829" s="21"/>
      <c r="B829" s="22">
        <v>2.0</v>
      </c>
      <c r="C829" s="23" t="s">
        <v>279</v>
      </c>
      <c r="D829" s="24" t="s">
        <v>280</v>
      </c>
      <c r="E829" s="22">
        <v>20.0</v>
      </c>
      <c r="F829" s="22">
        <v>0.0</v>
      </c>
    </row>
    <row r="830">
      <c r="A830" s="21"/>
      <c r="B830" s="22">
        <v>3.0</v>
      </c>
      <c r="C830" s="23" t="s">
        <v>279</v>
      </c>
      <c r="D830" s="24" t="s">
        <v>280</v>
      </c>
      <c r="E830" s="22">
        <v>30.0</v>
      </c>
      <c r="F830" s="22">
        <v>0.0</v>
      </c>
    </row>
    <row r="831">
      <c r="A831" s="21"/>
      <c r="B831" s="22">
        <v>4.0</v>
      </c>
      <c r="C831" s="23" t="s">
        <v>279</v>
      </c>
      <c r="D831" s="24" t="s">
        <v>280</v>
      </c>
      <c r="E831" s="22">
        <v>40.0</v>
      </c>
      <c r="F831" s="22">
        <v>0.0</v>
      </c>
    </row>
    <row r="832">
      <c r="A832" s="21"/>
      <c r="B832" s="22">
        <v>5.0</v>
      </c>
      <c r="C832" s="23" t="s">
        <v>279</v>
      </c>
      <c r="D832" s="24" t="s">
        <v>280</v>
      </c>
      <c r="E832" s="22">
        <v>80.0</v>
      </c>
      <c r="F832" s="22">
        <v>0.0</v>
      </c>
    </row>
    <row r="833">
      <c r="B833" s="10"/>
      <c r="C833" s="26"/>
      <c r="D833" s="26"/>
      <c r="E833" s="10"/>
      <c r="F833" s="10"/>
    </row>
    <row r="834">
      <c r="A834" s="10" t="str">
        <f>"# 스킬 idx " &amp;A836&amp; VLOOKUP(A836,SkillData!A$2:E$459,3,FALSE)</f>
        <v># 스킬 idx 1030330303</v>
      </c>
    </row>
    <row r="835">
      <c r="A835" s="4" t="s">
        <v>224</v>
      </c>
      <c r="B835" s="4" t="s">
        <v>225</v>
      </c>
      <c r="C835" s="4" t="s">
        <v>226</v>
      </c>
      <c r="D835" s="4" t="s">
        <v>227</v>
      </c>
      <c r="E835" s="4" t="s">
        <v>228</v>
      </c>
      <c r="F835" s="4" t="s">
        <v>229</v>
      </c>
    </row>
    <row r="836">
      <c r="A836" s="22">
        <v>10303.0</v>
      </c>
      <c r="B836" s="22">
        <v>1.0</v>
      </c>
      <c r="C836" s="23" t="s">
        <v>279</v>
      </c>
      <c r="D836" s="24" t="s">
        <v>280</v>
      </c>
      <c r="E836" s="22">
        <v>20.0</v>
      </c>
      <c r="F836" s="22">
        <v>0.0</v>
      </c>
      <c r="G836" s="9" t="str">
        <f t="shared" ref="G836:H836" si="111">"[" &amp;E836&amp;","&amp;E837&amp;","&amp;E838&amp;","&amp;E839&amp;","&amp;E840&amp; "]"</f>
        <v>[20,30,45,75,100]</v>
      </c>
      <c r="H836" s="9" t="str">
        <f t="shared" si="111"/>
        <v>[0,0,0,0,0]</v>
      </c>
    </row>
    <row r="837">
      <c r="A837" s="21"/>
      <c r="B837" s="22">
        <v>2.0</v>
      </c>
      <c r="C837" s="23" t="s">
        <v>279</v>
      </c>
      <c r="D837" s="24" t="s">
        <v>280</v>
      </c>
      <c r="E837" s="22">
        <v>30.0</v>
      </c>
      <c r="F837" s="22">
        <v>0.0</v>
      </c>
    </row>
    <row r="838">
      <c r="A838" s="21"/>
      <c r="B838" s="22">
        <v>3.0</v>
      </c>
      <c r="C838" s="23" t="s">
        <v>279</v>
      </c>
      <c r="D838" s="24" t="s">
        <v>280</v>
      </c>
      <c r="E838" s="22">
        <v>45.0</v>
      </c>
      <c r="F838" s="22">
        <v>0.0</v>
      </c>
    </row>
    <row r="839">
      <c r="A839" s="21"/>
      <c r="B839" s="22">
        <v>4.0</v>
      </c>
      <c r="C839" s="23" t="s">
        <v>279</v>
      </c>
      <c r="D839" s="24" t="s">
        <v>280</v>
      </c>
      <c r="E839" s="22">
        <v>75.0</v>
      </c>
      <c r="F839" s="22">
        <v>0.0</v>
      </c>
    </row>
    <row r="840">
      <c r="A840" s="21"/>
      <c r="B840" s="22">
        <v>5.0</v>
      </c>
      <c r="C840" s="23" t="s">
        <v>279</v>
      </c>
      <c r="D840" s="24" t="s">
        <v>280</v>
      </c>
      <c r="E840" s="22">
        <v>100.0</v>
      </c>
      <c r="F840" s="22">
        <v>0.0</v>
      </c>
    </row>
    <row r="841">
      <c r="B841" s="10"/>
      <c r="C841" s="26"/>
      <c r="D841" s="26"/>
      <c r="E841" s="10"/>
      <c r="F841" s="10"/>
    </row>
    <row r="842">
      <c r="A842" s="10" t="str">
        <f>"# 스킬 idx " &amp;A844&amp; VLOOKUP(A844,SkillData!A$2:E$459,3,FALSE)</f>
        <v># 스킬 idx 1030430304</v>
      </c>
    </row>
    <row r="843">
      <c r="A843" s="4" t="s">
        <v>224</v>
      </c>
      <c r="B843" s="4" t="s">
        <v>225</v>
      </c>
      <c r="C843" s="4" t="s">
        <v>226</v>
      </c>
      <c r="D843" s="4" t="s">
        <v>227</v>
      </c>
      <c r="E843" s="4" t="s">
        <v>228</v>
      </c>
      <c r="F843" s="4" t="s">
        <v>229</v>
      </c>
    </row>
    <row r="844">
      <c r="A844" s="22">
        <v>10304.0</v>
      </c>
      <c r="B844" s="22">
        <v>1.0</v>
      </c>
      <c r="C844" s="23" t="s">
        <v>279</v>
      </c>
      <c r="D844" s="24" t="s">
        <v>280</v>
      </c>
      <c r="E844" s="22">
        <v>10.0</v>
      </c>
      <c r="F844" s="22">
        <v>0.0</v>
      </c>
      <c r="G844" s="9" t="str">
        <f t="shared" ref="G844:H844" si="112">"[" &amp;E844&amp;","&amp;E845&amp;","&amp;E846&amp;","&amp;E847&amp;","&amp;E848&amp; "]"</f>
        <v>[10,20,30,40,50]</v>
      </c>
      <c r="H844" s="9" t="str">
        <f t="shared" si="112"/>
        <v>[0,0,0,0,0]</v>
      </c>
    </row>
    <row r="845">
      <c r="A845" s="21"/>
      <c r="B845" s="22">
        <v>2.0</v>
      </c>
      <c r="C845" s="23" t="s">
        <v>279</v>
      </c>
      <c r="D845" s="24" t="s">
        <v>280</v>
      </c>
      <c r="E845" s="22">
        <v>20.0</v>
      </c>
      <c r="F845" s="22">
        <v>0.0</v>
      </c>
    </row>
    <row r="846">
      <c r="A846" s="21"/>
      <c r="B846" s="22">
        <v>3.0</v>
      </c>
      <c r="C846" s="23" t="s">
        <v>279</v>
      </c>
      <c r="D846" s="24" t="s">
        <v>280</v>
      </c>
      <c r="E846" s="22">
        <v>30.0</v>
      </c>
      <c r="F846" s="22">
        <v>0.0</v>
      </c>
    </row>
    <row r="847">
      <c r="A847" s="21"/>
      <c r="B847" s="22">
        <v>4.0</v>
      </c>
      <c r="C847" s="23" t="s">
        <v>279</v>
      </c>
      <c r="D847" s="24" t="s">
        <v>280</v>
      </c>
      <c r="E847" s="22">
        <v>40.0</v>
      </c>
      <c r="F847" s="22">
        <v>0.0</v>
      </c>
    </row>
    <row r="848">
      <c r="A848" s="21"/>
      <c r="B848" s="22">
        <v>5.0</v>
      </c>
      <c r="C848" s="23" t="s">
        <v>279</v>
      </c>
      <c r="D848" s="24" t="s">
        <v>280</v>
      </c>
      <c r="E848" s="22">
        <v>50.0</v>
      </c>
      <c r="F848" s="22">
        <v>0.0</v>
      </c>
    </row>
    <row r="849">
      <c r="B849" s="10"/>
      <c r="C849" s="26"/>
      <c r="D849" s="26"/>
      <c r="E849" s="10"/>
      <c r="F849" s="10"/>
    </row>
    <row r="850">
      <c r="A850" s="10" t="str">
        <f>"# 스킬 idx " &amp;A852&amp; VLOOKUP(A852,SkillData!A$2:E$459,3,FALSE)</f>
        <v># 스킬 idx 1030530305</v>
      </c>
    </row>
    <row r="851">
      <c r="A851" s="4" t="s">
        <v>224</v>
      </c>
      <c r="B851" s="4" t="s">
        <v>225</v>
      </c>
      <c r="C851" s="4" t="s">
        <v>226</v>
      </c>
      <c r="D851" s="4" t="s">
        <v>227</v>
      </c>
      <c r="E851" s="4" t="s">
        <v>228</v>
      </c>
      <c r="F851" s="4" t="s">
        <v>229</v>
      </c>
    </row>
    <row r="852">
      <c r="A852" s="22">
        <v>10305.0</v>
      </c>
      <c r="B852" s="22">
        <v>1.0</v>
      </c>
      <c r="C852" s="23" t="s">
        <v>279</v>
      </c>
      <c r="D852" s="24" t="s">
        <v>280</v>
      </c>
      <c r="E852" s="22">
        <v>10.0</v>
      </c>
      <c r="F852" s="22">
        <v>0.0</v>
      </c>
      <c r="G852" s="9" t="str">
        <f t="shared" ref="G852:H852" si="113">"[" &amp;E852&amp;","&amp;E853&amp;","&amp;E854&amp;","&amp;E855&amp;","&amp;E856&amp; "]"</f>
        <v>[10,20,30,40,50]</v>
      </c>
      <c r="H852" s="9" t="str">
        <f t="shared" si="113"/>
        <v>[0,0,0,0,0]</v>
      </c>
    </row>
    <row r="853">
      <c r="A853" s="21"/>
      <c r="B853" s="22">
        <v>2.0</v>
      </c>
      <c r="C853" s="23" t="s">
        <v>279</v>
      </c>
      <c r="D853" s="24" t="s">
        <v>280</v>
      </c>
      <c r="E853" s="22">
        <v>20.0</v>
      </c>
      <c r="F853" s="22">
        <v>0.0</v>
      </c>
    </row>
    <row r="854">
      <c r="A854" s="21"/>
      <c r="B854" s="22">
        <v>3.0</v>
      </c>
      <c r="C854" s="23" t="s">
        <v>279</v>
      </c>
      <c r="D854" s="24" t="s">
        <v>280</v>
      </c>
      <c r="E854" s="22">
        <v>30.0</v>
      </c>
      <c r="F854" s="22">
        <v>0.0</v>
      </c>
    </row>
    <row r="855">
      <c r="A855" s="21"/>
      <c r="B855" s="22">
        <v>4.0</v>
      </c>
      <c r="C855" s="23" t="s">
        <v>279</v>
      </c>
      <c r="D855" s="24" t="s">
        <v>280</v>
      </c>
      <c r="E855" s="22">
        <v>40.0</v>
      </c>
      <c r="F855" s="22">
        <v>0.0</v>
      </c>
    </row>
    <row r="856">
      <c r="A856" s="21"/>
      <c r="B856" s="22">
        <v>5.0</v>
      </c>
      <c r="C856" s="23" t="s">
        <v>279</v>
      </c>
      <c r="D856" s="24" t="s">
        <v>280</v>
      </c>
      <c r="E856" s="22">
        <v>50.0</v>
      </c>
      <c r="F856" s="22">
        <v>0.0</v>
      </c>
    </row>
    <row r="857">
      <c r="B857" s="10"/>
      <c r="C857" s="26"/>
      <c r="D857" s="26"/>
      <c r="E857" s="10"/>
      <c r="F857" s="10"/>
    </row>
    <row r="858">
      <c r="A858" s="10" t="str">
        <f>"# 스킬 idx " &amp;A860&amp; VLOOKUP(A860,SkillData!A$2:E$459,3,FALSE)</f>
        <v># 스킬 idx 1030630306</v>
      </c>
    </row>
    <row r="859">
      <c r="A859" s="4" t="s">
        <v>224</v>
      </c>
      <c r="B859" s="4" t="s">
        <v>225</v>
      </c>
      <c r="C859" s="4" t="s">
        <v>226</v>
      </c>
      <c r="D859" s="4" t="s">
        <v>227</v>
      </c>
      <c r="E859" s="4" t="s">
        <v>228</v>
      </c>
      <c r="F859" s="4" t="s">
        <v>229</v>
      </c>
    </row>
    <row r="860">
      <c r="A860" s="22">
        <v>10306.0</v>
      </c>
      <c r="B860" s="22">
        <v>1.0</v>
      </c>
      <c r="C860" s="23" t="s">
        <v>279</v>
      </c>
      <c r="D860" s="24" t="s">
        <v>280</v>
      </c>
      <c r="E860" s="22">
        <v>5.0</v>
      </c>
      <c r="F860" s="22">
        <v>0.0</v>
      </c>
      <c r="G860" s="9" t="str">
        <f t="shared" ref="G860:H860" si="114">"[" &amp;E860&amp;","&amp;E861&amp;","&amp;E862&amp;","&amp;E863&amp;","&amp;E864&amp; "]"</f>
        <v>[5,10,15,20,40]</v>
      </c>
      <c r="H860" s="9" t="str">
        <f t="shared" si="114"/>
        <v>[0,0,0,0,0]</v>
      </c>
    </row>
    <row r="861">
      <c r="A861" s="21"/>
      <c r="B861" s="22">
        <v>2.0</v>
      </c>
      <c r="C861" s="23" t="s">
        <v>279</v>
      </c>
      <c r="D861" s="24" t="s">
        <v>280</v>
      </c>
      <c r="E861" s="22">
        <v>10.0</v>
      </c>
      <c r="F861" s="22">
        <v>0.0</v>
      </c>
    </row>
    <row r="862">
      <c r="A862" s="21"/>
      <c r="B862" s="22">
        <v>3.0</v>
      </c>
      <c r="C862" s="23" t="s">
        <v>279</v>
      </c>
      <c r="D862" s="24" t="s">
        <v>280</v>
      </c>
      <c r="E862" s="22">
        <v>15.0</v>
      </c>
      <c r="F862" s="22">
        <v>0.0</v>
      </c>
    </row>
    <row r="863">
      <c r="A863" s="21"/>
      <c r="B863" s="22">
        <v>4.0</v>
      </c>
      <c r="C863" s="23" t="s">
        <v>279</v>
      </c>
      <c r="D863" s="24" t="s">
        <v>280</v>
      </c>
      <c r="E863" s="22">
        <v>20.0</v>
      </c>
      <c r="F863" s="22">
        <v>0.0</v>
      </c>
    </row>
    <row r="864">
      <c r="A864" s="21"/>
      <c r="B864" s="22">
        <v>5.0</v>
      </c>
      <c r="C864" s="23" t="s">
        <v>279</v>
      </c>
      <c r="D864" s="24" t="s">
        <v>280</v>
      </c>
      <c r="E864" s="22">
        <v>40.0</v>
      </c>
      <c r="F864" s="22">
        <v>0.0</v>
      </c>
    </row>
    <row r="865">
      <c r="B865" s="10"/>
      <c r="C865" s="26"/>
      <c r="D865" s="26"/>
      <c r="E865" s="10"/>
      <c r="F865" s="10"/>
    </row>
    <row r="866">
      <c r="A866" s="10" t="str">
        <f>"# 스킬 idx " &amp;A868&amp; VLOOKUP(A868,SkillData!A$2:E$459,3,FALSE)</f>
        <v># 스킬 idx 1030730307</v>
      </c>
    </row>
    <row r="867">
      <c r="A867" s="4" t="s">
        <v>224</v>
      </c>
      <c r="B867" s="4" t="s">
        <v>225</v>
      </c>
      <c r="C867" s="4" t="s">
        <v>226</v>
      </c>
      <c r="D867" s="4" t="s">
        <v>227</v>
      </c>
      <c r="E867" s="4" t="s">
        <v>228</v>
      </c>
      <c r="F867" s="4" t="s">
        <v>229</v>
      </c>
    </row>
    <row r="868">
      <c r="A868" s="22">
        <v>10307.0</v>
      </c>
      <c r="B868" s="22">
        <v>1.0</v>
      </c>
      <c r="C868" s="23" t="s">
        <v>279</v>
      </c>
      <c r="D868" s="24" t="s">
        <v>280</v>
      </c>
      <c r="E868" s="22">
        <v>10.0</v>
      </c>
      <c r="F868" s="22">
        <v>0.0</v>
      </c>
      <c r="G868" s="9" t="str">
        <f t="shared" ref="G868:H868" si="115">"[" &amp;E868&amp;","&amp;E869&amp;","&amp;E870&amp;","&amp;E871&amp;","&amp;E872&amp; "]"</f>
        <v>[10,20,30,40,80]</v>
      </c>
      <c r="H868" s="9" t="str">
        <f t="shared" si="115"/>
        <v>[0,0,0,0,0]</v>
      </c>
    </row>
    <row r="869">
      <c r="A869" s="21"/>
      <c r="B869" s="22">
        <v>2.0</v>
      </c>
      <c r="C869" s="23" t="s">
        <v>279</v>
      </c>
      <c r="D869" s="24" t="s">
        <v>280</v>
      </c>
      <c r="E869" s="22">
        <v>20.0</v>
      </c>
      <c r="F869" s="22">
        <v>0.0</v>
      </c>
    </row>
    <row r="870">
      <c r="A870" s="21"/>
      <c r="B870" s="22">
        <v>3.0</v>
      </c>
      <c r="C870" s="23" t="s">
        <v>279</v>
      </c>
      <c r="D870" s="24" t="s">
        <v>280</v>
      </c>
      <c r="E870" s="22">
        <v>30.0</v>
      </c>
      <c r="F870" s="22">
        <v>0.0</v>
      </c>
    </row>
    <row r="871">
      <c r="A871" s="21"/>
      <c r="B871" s="22">
        <v>4.0</v>
      </c>
      <c r="C871" s="23" t="s">
        <v>279</v>
      </c>
      <c r="D871" s="24" t="s">
        <v>280</v>
      </c>
      <c r="E871" s="22">
        <v>40.0</v>
      </c>
      <c r="F871" s="22">
        <v>0.0</v>
      </c>
    </row>
    <row r="872">
      <c r="A872" s="21"/>
      <c r="B872" s="22">
        <v>5.0</v>
      </c>
      <c r="C872" s="23" t="s">
        <v>279</v>
      </c>
      <c r="D872" s="24" t="s">
        <v>280</v>
      </c>
      <c r="E872" s="22">
        <v>80.0</v>
      </c>
      <c r="F872" s="22">
        <v>0.0</v>
      </c>
    </row>
    <row r="873">
      <c r="B873" s="10"/>
      <c r="C873" s="26"/>
      <c r="D873" s="26"/>
      <c r="E873" s="10"/>
      <c r="F873" s="10"/>
    </row>
    <row r="874">
      <c r="A874" s="10" t="str">
        <f>"# 스킬 idx " &amp;A876&amp; VLOOKUP(A876,SkillData!A$2:E$459,3,FALSE)</f>
        <v># 스킬 idx 1030830308</v>
      </c>
    </row>
    <row r="875">
      <c r="A875" s="4" t="s">
        <v>224</v>
      </c>
      <c r="B875" s="4" t="s">
        <v>225</v>
      </c>
      <c r="C875" s="4" t="s">
        <v>226</v>
      </c>
      <c r="D875" s="4" t="s">
        <v>227</v>
      </c>
      <c r="E875" s="4" t="s">
        <v>228</v>
      </c>
      <c r="F875" s="4" t="s">
        <v>229</v>
      </c>
    </row>
    <row r="876">
      <c r="A876" s="22">
        <v>10308.0</v>
      </c>
      <c r="B876" s="22">
        <v>1.0</v>
      </c>
      <c r="C876" s="23" t="s">
        <v>281</v>
      </c>
      <c r="D876" s="24" t="s">
        <v>280</v>
      </c>
      <c r="E876" s="22">
        <v>0.0</v>
      </c>
      <c r="F876" s="22">
        <v>5.0</v>
      </c>
      <c r="G876" s="9" t="str">
        <f t="shared" ref="G876:H876" si="116">"[" &amp;E876&amp;","&amp;E877&amp;","&amp;E878&amp;","&amp;E879&amp;","&amp;E880&amp; "]"</f>
        <v>[0,0,0,0,0]</v>
      </c>
      <c r="H876" s="9" t="str">
        <f t="shared" si="116"/>
        <v>[5,7,10,15,20]</v>
      </c>
    </row>
    <row r="877">
      <c r="A877" s="21"/>
      <c r="B877" s="22">
        <v>2.0</v>
      </c>
      <c r="C877" s="23" t="s">
        <v>281</v>
      </c>
      <c r="D877" s="24" t="s">
        <v>280</v>
      </c>
      <c r="E877" s="22">
        <v>0.0</v>
      </c>
      <c r="F877" s="22">
        <v>7.0</v>
      </c>
    </row>
    <row r="878">
      <c r="A878" s="21"/>
      <c r="B878" s="22">
        <v>3.0</v>
      </c>
      <c r="C878" s="23" t="s">
        <v>281</v>
      </c>
      <c r="D878" s="24" t="s">
        <v>280</v>
      </c>
      <c r="E878" s="22">
        <v>0.0</v>
      </c>
      <c r="F878" s="22">
        <v>10.0</v>
      </c>
    </row>
    <row r="879">
      <c r="A879" s="21"/>
      <c r="B879" s="22">
        <v>4.0</v>
      </c>
      <c r="C879" s="23" t="s">
        <v>281</v>
      </c>
      <c r="D879" s="24" t="s">
        <v>280</v>
      </c>
      <c r="E879" s="22">
        <v>0.0</v>
      </c>
      <c r="F879" s="22">
        <v>15.0</v>
      </c>
    </row>
    <row r="880">
      <c r="A880" s="21"/>
      <c r="B880" s="22">
        <v>5.0</v>
      </c>
      <c r="C880" s="23" t="s">
        <v>281</v>
      </c>
      <c r="D880" s="24" t="s">
        <v>280</v>
      </c>
      <c r="E880" s="22">
        <v>0.0</v>
      </c>
      <c r="F880" s="22">
        <v>20.0</v>
      </c>
    </row>
    <row r="882">
      <c r="A882" s="10" t="str">
        <f>"# 스킬 idx " &amp;A884&amp; VLOOKUP(A884,SkillData!A$2:E$459,3,FALSE)</f>
        <v># 스킬 idx 1030930309</v>
      </c>
    </row>
    <row r="883">
      <c r="A883" s="4" t="s">
        <v>224</v>
      </c>
      <c r="B883" s="4" t="s">
        <v>225</v>
      </c>
      <c r="C883" s="4" t="s">
        <v>226</v>
      </c>
      <c r="D883" s="4" t="s">
        <v>227</v>
      </c>
      <c r="E883" s="4" t="s">
        <v>228</v>
      </c>
      <c r="F883" s="4" t="s">
        <v>229</v>
      </c>
    </row>
    <row r="884">
      <c r="A884" s="22">
        <v>10309.0</v>
      </c>
      <c r="B884" s="22">
        <v>1.0</v>
      </c>
      <c r="C884" s="23" t="s">
        <v>281</v>
      </c>
      <c r="D884" s="24" t="s">
        <v>280</v>
      </c>
      <c r="E884" s="22">
        <v>0.0</v>
      </c>
      <c r="F884" s="22">
        <v>10.0</v>
      </c>
      <c r="G884" s="9" t="str">
        <f t="shared" ref="G884:H884" si="117">"[" &amp;E884&amp;","&amp;E885&amp;","&amp;E886&amp;","&amp;E887&amp;","&amp;E888&amp; "]"</f>
        <v>[0,0,0,0,0]</v>
      </c>
      <c r="H884" s="9" t="str">
        <f t="shared" si="117"/>
        <v>[10,14,20,30,40]</v>
      </c>
    </row>
    <row r="885">
      <c r="A885" s="21"/>
      <c r="B885" s="22">
        <v>2.0</v>
      </c>
      <c r="C885" s="23" t="s">
        <v>281</v>
      </c>
      <c r="D885" s="24" t="s">
        <v>280</v>
      </c>
      <c r="E885" s="22">
        <v>0.0</v>
      </c>
      <c r="F885" s="22">
        <v>14.0</v>
      </c>
    </row>
    <row r="886">
      <c r="A886" s="21"/>
      <c r="B886" s="22">
        <v>3.0</v>
      </c>
      <c r="C886" s="23" t="s">
        <v>281</v>
      </c>
      <c r="D886" s="24" t="s">
        <v>280</v>
      </c>
      <c r="E886" s="22">
        <v>0.0</v>
      </c>
      <c r="F886" s="22">
        <v>20.0</v>
      </c>
    </row>
    <row r="887">
      <c r="A887" s="21"/>
      <c r="B887" s="22">
        <v>4.0</v>
      </c>
      <c r="C887" s="23" t="s">
        <v>281</v>
      </c>
      <c r="D887" s="24" t="s">
        <v>280</v>
      </c>
      <c r="E887" s="22">
        <v>0.0</v>
      </c>
      <c r="F887" s="22">
        <v>30.0</v>
      </c>
    </row>
    <row r="888">
      <c r="A888" s="21"/>
      <c r="B888" s="22">
        <v>5.0</v>
      </c>
      <c r="C888" s="23" t="s">
        <v>281</v>
      </c>
      <c r="D888" s="24" t="s">
        <v>280</v>
      </c>
      <c r="E888" s="22">
        <v>0.0</v>
      </c>
      <c r="F888" s="22">
        <v>40.0</v>
      </c>
    </row>
    <row r="889">
      <c r="B889" s="10"/>
      <c r="C889" s="26"/>
      <c r="D889" s="26"/>
      <c r="E889" s="10"/>
      <c r="F889" s="10"/>
    </row>
    <row r="890">
      <c r="A890" s="10" t="str">
        <f>"# 스킬 idx " &amp;A892&amp; VLOOKUP(A892,SkillData!A$2:E$459,3,FALSE)</f>
        <v># 스킬 idx 1040130401</v>
      </c>
    </row>
    <row r="891">
      <c r="A891" s="4" t="s">
        <v>224</v>
      </c>
      <c r="B891" s="4" t="s">
        <v>225</v>
      </c>
      <c r="C891" s="4" t="s">
        <v>226</v>
      </c>
      <c r="D891" s="4" t="s">
        <v>227</v>
      </c>
      <c r="E891" s="4" t="s">
        <v>228</v>
      </c>
      <c r="F891" s="4" t="s">
        <v>229</v>
      </c>
    </row>
    <row r="892">
      <c r="A892" s="22">
        <v>10401.0</v>
      </c>
      <c r="B892" s="22">
        <v>1.0</v>
      </c>
      <c r="C892" s="23" t="s">
        <v>237</v>
      </c>
      <c r="D892" s="24" t="s">
        <v>282</v>
      </c>
      <c r="E892" s="22">
        <v>0.0</v>
      </c>
      <c r="F892" s="22">
        <v>30.0</v>
      </c>
      <c r="G892" s="10" t="str">
        <f t="shared" ref="G892:H892" si="118">"[" &amp;E892&amp; "]"</f>
        <v>[0]</v>
      </c>
      <c r="H892" s="10" t="str">
        <f t="shared" si="118"/>
        <v>[30]</v>
      </c>
    </row>
    <row r="893">
      <c r="B893" s="10"/>
      <c r="C893" s="26"/>
      <c r="D893" s="26"/>
      <c r="E893" s="10"/>
      <c r="F893" s="10"/>
    </row>
    <row r="894">
      <c r="A894" s="10" t="str">
        <f>"# 스킬 idx " &amp;A896&amp; VLOOKUP(A896,SkillData!A$2:E$459,3,FALSE)</f>
        <v># 스킬 idx 1040230402</v>
      </c>
    </row>
    <row r="895">
      <c r="A895" s="4" t="s">
        <v>224</v>
      </c>
      <c r="B895" s="4" t="s">
        <v>225</v>
      </c>
      <c r="C895" s="4" t="s">
        <v>226</v>
      </c>
      <c r="D895" s="4" t="s">
        <v>227</v>
      </c>
      <c r="E895" s="4" t="s">
        <v>228</v>
      </c>
      <c r="F895" s="4" t="s">
        <v>229</v>
      </c>
    </row>
    <row r="896">
      <c r="A896" s="22">
        <v>10402.0</v>
      </c>
      <c r="B896" s="22">
        <v>1.0</v>
      </c>
      <c r="C896" s="23" t="s">
        <v>234</v>
      </c>
      <c r="D896" s="24" t="s">
        <v>282</v>
      </c>
      <c r="E896" s="22">
        <v>0.0</v>
      </c>
      <c r="F896" s="22">
        <v>30.0</v>
      </c>
      <c r="G896" s="10" t="str">
        <f t="shared" ref="G896:H896" si="119">"[" &amp;E896&amp; "]"</f>
        <v>[0]</v>
      </c>
      <c r="H896" s="10" t="str">
        <f t="shared" si="119"/>
        <v>[30]</v>
      </c>
    </row>
    <row r="897">
      <c r="B897" s="10"/>
      <c r="C897" s="26"/>
      <c r="D897" s="26"/>
      <c r="E897" s="10"/>
      <c r="F897" s="10"/>
    </row>
    <row r="898">
      <c r="A898" s="10" t="str">
        <f>"# 스킬 idx " &amp;A900&amp; VLOOKUP(A900,SkillData!A$2:E$459,3,FALSE)</f>
        <v># 스킬 idx 1040330403</v>
      </c>
    </row>
    <row r="899">
      <c r="A899" s="4" t="s">
        <v>224</v>
      </c>
      <c r="B899" s="4" t="s">
        <v>225</v>
      </c>
      <c r="C899" s="4" t="s">
        <v>226</v>
      </c>
      <c r="D899" s="4" t="s">
        <v>227</v>
      </c>
      <c r="E899" s="4" t="s">
        <v>228</v>
      </c>
      <c r="F899" s="4" t="s">
        <v>229</v>
      </c>
    </row>
    <row r="900">
      <c r="A900" s="22">
        <v>10403.0</v>
      </c>
      <c r="B900" s="22">
        <v>1.0</v>
      </c>
      <c r="C900" s="23" t="s">
        <v>274</v>
      </c>
      <c r="D900" s="24" t="s">
        <v>283</v>
      </c>
      <c r="E900" s="22">
        <v>0.0</v>
      </c>
      <c r="F900" s="22">
        <v>30.0</v>
      </c>
      <c r="G900" s="10" t="str">
        <f t="shared" ref="G900:H900" si="120">"[" &amp;E900&amp; "]"</f>
        <v>[0]</v>
      </c>
      <c r="H900" s="10" t="str">
        <f t="shared" si="120"/>
        <v>[30]</v>
      </c>
    </row>
    <row r="901">
      <c r="B901" s="10"/>
      <c r="C901" s="26"/>
      <c r="D901" s="26"/>
      <c r="E901" s="10"/>
      <c r="F901" s="10"/>
    </row>
    <row r="902">
      <c r="A902" s="10" t="str">
        <f>"# 스킬 idx " &amp;A904&amp; VLOOKUP(A904,SkillData!A$2:E$459,3,FALSE)</f>
        <v># 스킬 idx 1040430404</v>
      </c>
    </row>
    <row r="903">
      <c r="A903" s="4" t="s">
        <v>224</v>
      </c>
      <c r="B903" s="4" t="s">
        <v>225</v>
      </c>
      <c r="C903" s="4" t="s">
        <v>226</v>
      </c>
      <c r="D903" s="4" t="s">
        <v>227</v>
      </c>
      <c r="E903" s="4" t="s">
        <v>228</v>
      </c>
      <c r="F903" s="4" t="s">
        <v>229</v>
      </c>
    </row>
    <row r="904">
      <c r="A904" s="22">
        <v>10404.0</v>
      </c>
      <c r="B904" s="22">
        <v>1.0</v>
      </c>
      <c r="C904" s="23" t="s">
        <v>281</v>
      </c>
      <c r="D904" s="24" t="s">
        <v>284</v>
      </c>
      <c r="E904" s="22">
        <v>0.0</v>
      </c>
      <c r="F904" s="22">
        <v>30.0</v>
      </c>
      <c r="G904" s="10" t="str">
        <f t="shared" ref="G904:H904" si="121">"[" &amp;E904&amp; "]"</f>
        <v>[0]</v>
      </c>
      <c r="H904" s="10" t="str">
        <f t="shared" si="121"/>
        <v>[30]</v>
      </c>
    </row>
    <row r="905">
      <c r="B905" s="10"/>
      <c r="C905" s="26"/>
      <c r="D905" s="26"/>
      <c r="E905" s="10"/>
      <c r="F905" s="10"/>
    </row>
    <row r="906">
      <c r="A906" s="10" t="str">
        <f>"# 스킬 idx " &amp;A908&amp; VLOOKUP(A908,SkillData!A$2:E$459,3,FALSE)</f>
        <v># 스킬 idx 1040530405</v>
      </c>
    </row>
    <row r="907">
      <c r="A907" s="4" t="s">
        <v>224</v>
      </c>
      <c r="B907" s="4" t="s">
        <v>225</v>
      </c>
      <c r="C907" s="4" t="s">
        <v>226</v>
      </c>
      <c r="D907" s="4" t="s">
        <v>227</v>
      </c>
      <c r="E907" s="4" t="s">
        <v>228</v>
      </c>
      <c r="F907" s="4" t="s">
        <v>229</v>
      </c>
    </row>
    <row r="908">
      <c r="A908" s="22">
        <v>10405.0</v>
      </c>
      <c r="B908" s="22">
        <v>1.0</v>
      </c>
      <c r="C908" s="23" t="s">
        <v>230</v>
      </c>
      <c r="D908" s="24" t="s">
        <v>255</v>
      </c>
      <c r="E908" s="22">
        <v>0.0</v>
      </c>
      <c r="F908" s="22">
        <v>30.0</v>
      </c>
      <c r="G908" s="10" t="str">
        <f t="shared" ref="G908:H908" si="122">"[" &amp;E908&amp; "]"</f>
        <v>[0]</v>
      </c>
      <c r="H908" s="10" t="str">
        <f t="shared" si="122"/>
        <v>[30]</v>
      </c>
    </row>
    <row r="909">
      <c r="B909" s="10"/>
      <c r="C909" s="26"/>
      <c r="D909" s="26"/>
      <c r="E909" s="10"/>
      <c r="F909" s="10"/>
    </row>
    <row r="910">
      <c r="A910" s="10" t="str">
        <f>"# 스킬 idx " &amp;A912&amp; VLOOKUP(A912,SkillData!A$2:E$459,3,FALSE)</f>
        <v># 스킬 idx 1040630406</v>
      </c>
    </row>
    <row r="911">
      <c r="A911" s="4" t="s">
        <v>224</v>
      </c>
      <c r="B911" s="4" t="s">
        <v>225</v>
      </c>
      <c r="C911" s="4" t="s">
        <v>226</v>
      </c>
      <c r="D911" s="4" t="s">
        <v>227</v>
      </c>
      <c r="E911" s="4" t="s">
        <v>228</v>
      </c>
      <c r="F911" s="4" t="s">
        <v>229</v>
      </c>
    </row>
    <row r="912">
      <c r="A912" s="22">
        <v>10406.0</v>
      </c>
      <c r="B912" s="22">
        <v>1.0</v>
      </c>
      <c r="C912" s="23" t="s">
        <v>234</v>
      </c>
      <c r="D912" s="24" t="s">
        <v>285</v>
      </c>
      <c r="E912" s="22">
        <v>0.0</v>
      </c>
      <c r="F912" s="22">
        <v>30.0</v>
      </c>
      <c r="G912" s="10" t="str">
        <f t="shared" ref="G912:H912" si="123">"[" &amp;E912&amp; "]"</f>
        <v>[0]</v>
      </c>
      <c r="H912" s="10" t="str">
        <f t="shared" si="123"/>
        <v>[30]</v>
      </c>
    </row>
    <row r="913">
      <c r="B913" s="10"/>
      <c r="C913" s="26"/>
      <c r="D913" s="26"/>
      <c r="E913" s="10"/>
      <c r="F913" s="10"/>
    </row>
    <row r="914">
      <c r="A914" s="10" t="str">
        <f>"# 스킬 idx " &amp;A916&amp; VLOOKUP(A916,SkillData!A$2:E$459,3,FALSE)</f>
        <v># 스킬 idx 1040730407</v>
      </c>
    </row>
    <row r="915">
      <c r="A915" s="4" t="s">
        <v>224</v>
      </c>
      <c r="B915" s="4" t="s">
        <v>225</v>
      </c>
      <c r="C915" s="4" t="s">
        <v>226</v>
      </c>
      <c r="D915" s="4" t="s">
        <v>227</v>
      </c>
      <c r="E915" s="4" t="s">
        <v>228</v>
      </c>
      <c r="F915" s="4" t="s">
        <v>229</v>
      </c>
    </row>
    <row r="916">
      <c r="A916" s="22">
        <v>10407.0</v>
      </c>
      <c r="B916" s="22">
        <v>1.0</v>
      </c>
      <c r="C916" s="23" t="s">
        <v>232</v>
      </c>
      <c r="D916" s="24" t="s">
        <v>248</v>
      </c>
      <c r="E916" s="22">
        <v>0.0</v>
      </c>
      <c r="F916" s="22">
        <v>30000.0</v>
      </c>
      <c r="G916" s="10" t="str">
        <f t="shared" ref="G916:H916" si="124">"[" &amp;E916&amp; "]"</f>
        <v>[0]</v>
      </c>
      <c r="H916" s="10" t="str">
        <f t="shared" si="124"/>
        <v>[30000]</v>
      </c>
    </row>
    <row r="917">
      <c r="B917" s="10"/>
      <c r="C917" s="26"/>
      <c r="D917" s="26"/>
      <c r="E917" s="10"/>
      <c r="F917" s="10"/>
    </row>
    <row r="918">
      <c r="A918" s="10" t="str">
        <f>"# 스킬 idx " &amp;A920&amp; VLOOKUP(A920,SkillData!A$2:E$459,3,FALSE)</f>
        <v># 스킬 idx 1040830408</v>
      </c>
    </row>
    <row r="919">
      <c r="A919" s="4" t="s">
        <v>224</v>
      </c>
      <c r="B919" s="4" t="s">
        <v>225</v>
      </c>
      <c r="C919" s="4" t="s">
        <v>226</v>
      </c>
      <c r="D919" s="4" t="s">
        <v>227</v>
      </c>
      <c r="E919" s="4" t="s">
        <v>228</v>
      </c>
      <c r="F919" s="4" t="s">
        <v>229</v>
      </c>
    </row>
    <row r="920">
      <c r="A920" s="22">
        <v>10408.0</v>
      </c>
      <c r="B920" s="22">
        <v>1.0</v>
      </c>
      <c r="C920" s="23" t="s">
        <v>230</v>
      </c>
      <c r="D920" s="24" t="s">
        <v>249</v>
      </c>
      <c r="E920" s="22">
        <v>0.0</v>
      </c>
      <c r="F920" s="22">
        <v>30.0</v>
      </c>
      <c r="G920" s="10" t="str">
        <f t="shared" ref="G920:H920" si="125">"[" &amp;E920&amp; "]"</f>
        <v>[0]</v>
      </c>
      <c r="H920" s="10" t="str">
        <f t="shared" si="125"/>
        <v>[30]</v>
      </c>
    </row>
    <row r="921">
      <c r="B921" s="10"/>
      <c r="C921" s="26"/>
      <c r="D921" s="26"/>
      <c r="E921" s="10"/>
      <c r="F921" s="10"/>
    </row>
    <row r="922">
      <c r="B922" s="10"/>
      <c r="C922" s="26"/>
      <c r="D922" s="26"/>
      <c r="E922" s="10"/>
      <c r="F922" s="10"/>
    </row>
    <row r="923">
      <c r="B923" s="10"/>
      <c r="C923" s="26"/>
      <c r="D923" s="26"/>
      <c r="E923" s="10"/>
      <c r="F923" s="10"/>
    </row>
    <row r="924">
      <c r="B924" s="10"/>
      <c r="C924" s="26"/>
      <c r="D924" s="26"/>
      <c r="E924" s="10"/>
      <c r="F924" s="10"/>
    </row>
    <row r="925">
      <c r="B925" s="10"/>
      <c r="C925" s="26"/>
      <c r="D925" s="26"/>
      <c r="E925" s="10"/>
      <c r="F925" s="10"/>
    </row>
    <row r="926">
      <c r="B926" s="10"/>
      <c r="C926" s="26"/>
      <c r="D926" s="26"/>
      <c r="E926" s="10"/>
      <c r="F926" s="10"/>
    </row>
    <row r="927">
      <c r="B927" s="10"/>
      <c r="C927" s="26"/>
      <c r="D927" s="26"/>
      <c r="E927" s="10"/>
      <c r="F927" s="10"/>
    </row>
    <row r="928">
      <c r="B928" s="10"/>
      <c r="C928" s="26"/>
      <c r="D928" s="26"/>
      <c r="E928" s="10"/>
      <c r="F928" s="10"/>
    </row>
    <row r="929">
      <c r="B929" s="10"/>
      <c r="C929" s="26"/>
      <c r="D929" s="26"/>
      <c r="E929" s="10"/>
      <c r="F929" s="10"/>
    </row>
    <row r="930">
      <c r="B930" s="10"/>
      <c r="C930" s="26"/>
      <c r="D930" s="26"/>
      <c r="E930" s="10"/>
      <c r="F930" s="10"/>
    </row>
    <row r="931">
      <c r="B931" s="10"/>
      <c r="C931" s="26"/>
      <c r="D931" s="26"/>
      <c r="E931" s="10"/>
      <c r="F931" s="10"/>
    </row>
    <row r="932">
      <c r="B932" s="10"/>
      <c r="C932" s="26"/>
      <c r="D932" s="26"/>
      <c r="E932" s="10"/>
      <c r="F932" s="10"/>
    </row>
    <row r="933">
      <c r="B933" s="10"/>
      <c r="C933" s="26"/>
      <c r="D933" s="26"/>
      <c r="E933" s="10"/>
      <c r="F933" s="10"/>
    </row>
    <row r="934">
      <c r="B934" s="10"/>
      <c r="C934" s="26"/>
      <c r="D934" s="26"/>
      <c r="E934" s="10"/>
      <c r="F934" s="10"/>
    </row>
    <row r="935">
      <c r="B935" s="10"/>
      <c r="C935" s="26"/>
      <c r="D935" s="26"/>
      <c r="E935" s="10"/>
      <c r="F935" s="10"/>
    </row>
    <row r="936">
      <c r="B936" s="10"/>
      <c r="C936" s="26"/>
      <c r="D936" s="26"/>
      <c r="E936" s="10"/>
      <c r="F936" s="10"/>
    </row>
    <row r="937">
      <c r="B937" s="10"/>
      <c r="C937" s="26"/>
      <c r="D937" s="26"/>
      <c r="E937" s="10"/>
      <c r="F937" s="10"/>
    </row>
    <row r="938">
      <c r="B938" s="10"/>
      <c r="C938" s="26"/>
      <c r="D938" s="26"/>
      <c r="E938" s="10"/>
      <c r="F938" s="10"/>
    </row>
    <row r="939">
      <c r="B939" s="10"/>
      <c r="C939" s="26"/>
      <c r="D939" s="26"/>
      <c r="E939" s="10"/>
      <c r="F939" s="10"/>
    </row>
    <row r="940">
      <c r="B940" s="10"/>
      <c r="C940" s="26"/>
      <c r="D940" s="26"/>
      <c r="E940" s="10"/>
      <c r="F940" s="10"/>
    </row>
    <row r="941">
      <c r="B941" s="10"/>
      <c r="C941" s="26"/>
      <c r="D941" s="26"/>
      <c r="E941" s="10"/>
      <c r="F941" s="10"/>
    </row>
    <row r="942">
      <c r="B942" s="10"/>
      <c r="C942" s="26"/>
      <c r="D942" s="26"/>
      <c r="E942" s="10"/>
      <c r="F942" s="10"/>
    </row>
    <row r="943">
      <c r="B943" s="10"/>
      <c r="C943" s="26"/>
      <c r="D943" s="26"/>
      <c r="E943" s="10"/>
      <c r="F943" s="10"/>
    </row>
    <row r="944">
      <c r="B944" s="10"/>
      <c r="C944" s="26"/>
      <c r="D944" s="26"/>
      <c r="E944" s="10"/>
      <c r="F944" s="10"/>
    </row>
    <row r="945">
      <c r="B945" s="10"/>
      <c r="C945" s="26"/>
      <c r="D945" s="26"/>
      <c r="E945" s="10"/>
      <c r="F945" s="10"/>
    </row>
    <row r="946">
      <c r="B946" s="10"/>
      <c r="C946" s="26"/>
      <c r="D946" s="26"/>
      <c r="E946" s="10"/>
      <c r="F946" s="10"/>
    </row>
    <row r="947">
      <c r="B947" s="10"/>
      <c r="C947" s="26"/>
      <c r="D947" s="26"/>
      <c r="E947" s="10"/>
      <c r="F947" s="10"/>
    </row>
    <row r="948">
      <c r="B948" s="10"/>
      <c r="C948" s="26"/>
      <c r="D948" s="26"/>
      <c r="E948" s="10"/>
      <c r="F948" s="10"/>
    </row>
    <row r="949">
      <c r="B949" s="10"/>
      <c r="C949" s="26"/>
      <c r="D949" s="26"/>
      <c r="E949" s="10"/>
      <c r="F949" s="10"/>
    </row>
    <row r="950">
      <c r="B950" s="10"/>
      <c r="C950" s="26"/>
      <c r="D950" s="26"/>
      <c r="E950" s="10"/>
      <c r="F950" s="10"/>
    </row>
    <row r="951">
      <c r="B951" s="10"/>
      <c r="C951" s="26"/>
      <c r="D951" s="26"/>
      <c r="E951" s="10"/>
      <c r="F951" s="10"/>
    </row>
    <row r="952">
      <c r="B952" s="10"/>
      <c r="C952" s="26"/>
      <c r="D952" s="26"/>
      <c r="E952" s="10"/>
      <c r="F952" s="10"/>
    </row>
    <row r="953">
      <c r="B953" s="10"/>
      <c r="C953" s="26"/>
      <c r="D953" s="26"/>
      <c r="E953" s="10"/>
      <c r="F953" s="10"/>
    </row>
    <row r="954">
      <c r="B954" s="10"/>
      <c r="C954" s="26"/>
      <c r="D954" s="26"/>
      <c r="E954" s="10"/>
      <c r="F954" s="10"/>
    </row>
    <row r="955">
      <c r="B955" s="10"/>
      <c r="C955" s="26"/>
      <c r="D955" s="26"/>
      <c r="E955" s="10"/>
      <c r="F955" s="10"/>
    </row>
    <row r="956">
      <c r="B956" s="10"/>
      <c r="C956" s="26"/>
      <c r="D956" s="26"/>
      <c r="E956" s="10"/>
      <c r="F956" s="10"/>
    </row>
    <row r="957">
      <c r="B957" s="10"/>
      <c r="C957" s="26"/>
      <c r="D957" s="26"/>
      <c r="E957" s="10"/>
      <c r="F957" s="10"/>
    </row>
    <row r="958">
      <c r="B958" s="10"/>
      <c r="C958" s="26"/>
      <c r="D958" s="26"/>
      <c r="E958" s="10"/>
      <c r="F958" s="10"/>
    </row>
    <row r="959">
      <c r="B959" s="10"/>
      <c r="C959" s="26"/>
      <c r="D959" s="26"/>
      <c r="E959" s="10"/>
      <c r="F959" s="10"/>
    </row>
    <row r="960">
      <c r="B960" s="10"/>
      <c r="C960" s="26"/>
      <c r="D960" s="26"/>
      <c r="E960" s="10"/>
      <c r="F960" s="10"/>
    </row>
    <row r="961">
      <c r="B961" s="10"/>
      <c r="C961" s="26"/>
      <c r="D961" s="26"/>
      <c r="E961" s="10"/>
      <c r="F961" s="10"/>
    </row>
    <row r="962">
      <c r="B962" s="10"/>
      <c r="C962" s="26"/>
      <c r="D962" s="26"/>
      <c r="E962" s="10"/>
      <c r="F962" s="10"/>
    </row>
    <row r="963">
      <c r="B963" s="10"/>
      <c r="C963" s="26"/>
      <c r="D963" s="26"/>
      <c r="E963" s="10"/>
      <c r="F963" s="10"/>
    </row>
    <row r="964">
      <c r="B964" s="10"/>
      <c r="C964" s="26"/>
      <c r="D964" s="26"/>
      <c r="E964" s="10"/>
      <c r="F964" s="10"/>
    </row>
    <row r="965">
      <c r="B965" s="10"/>
      <c r="C965" s="26"/>
      <c r="D965" s="26"/>
      <c r="E965" s="10"/>
      <c r="F965" s="10"/>
    </row>
    <row r="966">
      <c r="B966" s="10"/>
      <c r="C966" s="26"/>
      <c r="D966" s="26"/>
      <c r="E966" s="10"/>
      <c r="F966" s="10"/>
    </row>
    <row r="967">
      <c r="B967" s="10"/>
      <c r="C967" s="26"/>
      <c r="D967" s="26"/>
      <c r="E967" s="10"/>
      <c r="F967" s="10"/>
    </row>
    <row r="968">
      <c r="B968" s="10"/>
      <c r="C968" s="26"/>
      <c r="D968" s="26"/>
      <c r="E968" s="10"/>
      <c r="F968" s="10"/>
    </row>
    <row r="969">
      <c r="B969" s="10"/>
      <c r="C969" s="26"/>
      <c r="D969" s="26"/>
      <c r="E969" s="10"/>
      <c r="F969" s="10"/>
    </row>
    <row r="970">
      <c r="B970" s="10"/>
      <c r="C970" s="26"/>
      <c r="D970" s="26"/>
      <c r="E970" s="10"/>
      <c r="F970" s="10"/>
    </row>
    <row r="971">
      <c r="B971" s="10"/>
      <c r="C971" s="26"/>
      <c r="D971" s="26"/>
      <c r="E971" s="10"/>
      <c r="F971" s="10"/>
    </row>
    <row r="972">
      <c r="B972" s="10"/>
      <c r="C972" s="26"/>
      <c r="D972" s="26"/>
      <c r="E972" s="10"/>
      <c r="F972" s="10"/>
    </row>
    <row r="973">
      <c r="B973" s="10"/>
      <c r="C973" s="26"/>
      <c r="D973" s="26"/>
      <c r="E973" s="10"/>
      <c r="F973" s="10"/>
    </row>
    <row r="974">
      <c r="B974" s="10"/>
      <c r="C974" s="26"/>
      <c r="D974" s="26"/>
      <c r="E974" s="10"/>
      <c r="F974" s="10"/>
    </row>
    <row r="975">
      <c r="B975" s="10"/>
      <c r="C975" s="26"/>
      <c r="D975" s="26"/>
      <c r="E975" s="10"/>
      <c r="F975" s="10"/>
    </row>
    <row r="976">
      <c r="B976" s="10"/>
      <c r="C976" s="26"/>
      <c r="D976" s="26"/>
      <c r="E976" s="10"/>
      <c r="F976" s="10"/>
    </row>
    <row r="977">
      <c r="B977" s="10"/>
      <c r="C977" s="26"/>
      <c r="D977" s="26"/>
      <c r="E977" s="10"/>
      <c r="F977" s="10"/>
    </row>
    <row r="978">
      <c r="B978" s="10"/>
      <c r="C978" s="26"/>
      <c r="D978" s="26"/>
      <c r="E978" s="10"/>
      <c r="F978" s="10"/>
    </row>
    <row r="979">
      <c r="B979" s="10"/>
      <c r="C979" s="26"/>
      <c r="D979" s="26"/>
      <c r="E979" s="10"/>
      <c r="F979" s="10"/>
    </row>
    <row r="980">
      <c r="B980" s="10"/>
      <c r="C980" s="26"/>
      <c r="D980" s="26"/>
      <c r="E980" s="10"/>
      <c r="F980" s="10"/>
    </row>
    <row r="981">
      <c r="B981" s="10"/>
      <c r="C981" s="26"/>
      <c r="D981" s="26"/>
      <c r="E981" s="10"/>
      <c r="F981" s="10"/>
    </row>
    <row r="982">
      <c r="B982" s="10"/>
      <c r="C982" s="26"/>
      <c r="D982" s="26"/>
      <c r="E982" s="10"/>
      <c r="F982" s="10"/>
    </row>
    <row r="983">
      <c r="B983" s="10"/>
      <c r="C983" s="26"/>
      <c r="D983" s="26"/>
      <c r="E983" s="10"/>
      <c r="F983" s="10"/>
    </row>
    <row r="984">
      <c r="B984" s="10"/>
      <c r="C984" s="26"/>
      <c r="D984" s="26"/>
      <c r="E984" s="10"/>
      <c r="F984" s="10"/>
    </row>
    <row r="985">
      <c r="B985" s="10"/>
      <c r="C985" s="26"/>
      <c r="D985" s="26"/>
      <c r="E985" s="10"/>
      <c r="F985" s="10"/>
    </row>
    <row r="986">
      <c r="B986" s="10"/>
      <c r="C986" s="26"/>
      <c r="D986" s="26"/>
      <c r="E986" s="10"/>
      <c r="F986" s="10"/>
    </row>
    <row r="987">
      <c r="B987" s="10"/>
      <c r="C987" s="26"/>
      <c r="D987" s="26"/>
      <c r="E987" s="10"/>
      <c r="F987" s="10"/>
    </row>
    <row r="988">
      <c r="B988" s="10"/>
      <c r="C988" s="26"/>
      <c r="D988" s="26"/>
      <c r="E988" s="10"/>
      <c r="F988" s="10"/>
    </row>
    <row r="989">
      <c r="B989" s="10"/>
      <c r="C989" s="26"/>
      <c r="D989" s="26"/>
      <c r="E989" s="10"/>
      <c r="F989" s="10"/>
    </row>
    <row r="990">
      <c r="B990" s="10"/>
      <c r="C990" s="26"/>
      <c r="D990" s="26"/>
      <c r="E990" s="10"/>
      <c r="F990" s="10"/>
    </row>
    <row r="991">
      <c r="B991" s="10"/>
      <c r="C991" s="26"/>
      <c r="D991" s="26"/>
      <c r="E991" s="10"/>
      <c r="F991" s="10"/>
    </row>
    <row r="992">
      <c r="B992" s="10"/>
      <c r="C992" s="26"/>
      <c r="D992" s="26"/>
      <c r="E992" s="10"/>
      <c r="F992" s="10"/>
    </row>
    <row r="993">
      <c r="B993" s="10"/>
      <c r="C993" s="26"/>
      <c r="D993" s="26"/>
      <c r="E993" s="10"/>
      <c r="F993" s="10"/>
    </row>
    <row r="994">
      <c r="B994" s="10"/>
      <c r="C994" s="26"/>
      <c r="D994" s="26"/>
      <c r="E994" s="10"/>
      <c r="F994" s="10"/>
    </row>
    <row r="995">
      <c r="B995" s="10"/>
      <c r="C995" s="26"/>
      <c r="D995" s="26"/>
      <c r="E995" s="10"/>
      <c r="F995" s="10"/>
    </row>
    <row r="996">
      <c r="B996" s="10"/>
      <c r="C996" s="26"/>
      <c r="D996" s="26"/>
      <c r="E996" s="10"/>
      <c r="F996" s="10"/>
    </row>
    <row r="997">
      <c r="B997" s="10"/>
      <c r="C997" s="26"/>
      <c r="D997" s="26"/>
      <c r="E997" s="10"/>
      <c r="F997" s="10"/>
    </row>
    <row r="998">
      <c r="B998" s="10"/>
      <c r="C998" s="26"/>
      <c r="D998" s="26"/>
      <c r="E998" s="10"/>
      <c r="F998" s="10"/>
    </row>
    <row r="999">
      <c r="B999" s="10"/>
      <c r="C999" s="26"/>
      <c r="D999" s="26"/>
      <c r="E999" s="10"/>
      <c r="F999" s="10"/>
    </row>
    <row r="1000">
      <c r="B1000" s="10"/>
      <c r="C1000" s="26"/>
      <c r="D1000" s="26"/>
      <c r="E1000" s="10"/>
      <c r="F1000" s="10"/>
    </row>
    <row r="1001">
      <c r="B1001" s="10"/>
      <c r="C1001" s="26"/>
      <c r="D1001" s="26"/>
      <c r="E1001" s="10"/>
      <c r="F1001" s="10"/>
    </row>
    <row r="1002">
      <c r="B1002" s="10"/>
      <c r="C1002" s="26"/>
      <c r="D1002" s="26"/>
      <c r="E1002" s="10"/>
      <c r="F1002" s="10"/>
    </row>
    <row r="1003">
      <c r="B1003" s="10"/>
      <c r="C1003" s="26"/>
      <c r="D1003" s="26"/>
      <c r="E1003" s="10"/>
      <c r="F1003" s="10"/>
    </row>
    <row r="1004">
      <c r="B1004" s="10"/>
      <c r="C1004" s="26"/>
      <c r="D1004" s="26"/>
      <c r="E1004" s="10"/>
      <c r="F1004" s="10"/>
    </row>
    <row r="1005">
      <c r="B1005" s="10"/>
      <c r="C1005" s="26"/>
      <c r="D1005" s="26"/>
      <c r="E1005" s="10"/>
      <c r="F1005" s="10"/>
    </row>
    <row r="1006">
      <c r="B1006" s="10"/>
      <c r="C1006" s="26"/>
      <c r="D1006" s="26"/>
      <c r="E1006" s="10"/>
      <c r="F1006" s="10"/>
    </row>
    <row r="1007">
      <c r="B1007" s="10"/>
      <c r="C1007" s="26"/>
      <c r="D1007" s="26"/>
      <c r="E1007" s="10"/>
      <c r="F1007" s="10"/>
    </row>
    <row r="1008">
      <c r="B1008" s="10"/>
      <c r="C1008" s="26"/>
      <c r="D1008" s="26"/>
      <c r="E1008" s="10"/>
      <c r="F1008" s="10"/>
    </row>
    <row r="1009">
      <c r="B1009" s="10"/>
      <c r="C1009" s="26"/>
      <c r="D1009" s="26"/>
      <c r="E1009" s="10"/>
      <c r="F1009" s="10"/>
    </row>
    <row r="1010">
      <c r="B1010" s="10"/>
      <c r="C1010" s="26"/>
      <c r="D1010" s="26"/>
      <c r="E1010" s="10"/>
      <c r="F1010" s="10"/>
    </row>
    <row r="1011">
      <c r="B1011" s="10"/>
      <c r="C1011" s="26"/>
      <c r="D1011" s="26"/>
      <c r="E1011" s="10"/>
      <c r="F1011" s="10"/>
    </row>
    <row r="1012">
      <c r="B1012" s="10"/>
      <c r="C1012" s="26"/>
      <c r="D1012" s="26"/>
      <c r="E1012" s="10"/>
      <c r="F1012" s="10"/>
    </row>
    <row r="1013">
      <c r="B1013" s="10"/>
      <c r="C1013" s="26"/>
      <c r="D1013" s="26"/>
      <c r="E1013" s="10"/>
      <c r="F1013" s="10"/>
    </row>
    <row r="1014">
      <c r="B1014" s="10"/>
      <c r="C1014" s="26"/>
      <c r="D1014" s="26"/>
      <c r="E1014" s="10"/>
      <c r="F1014" s="10"/>
    </row>
    <row r="1015">
      <c r="B1015" s="10"/>
      <c r="C1015" s="26"/>
      <c r="D1015" s="26"/>
      <c r="E1015" s="10"/>
      <c r="F1015" s="10"/>
    </row>
    <row r="1016">
      <c r="B1016" s="10"/>
      <c r="C1016" s="26"/>
      <c r="D1016" s="26"/>
      <c r="E1016" s="10"/>
      <c r="F1016" s="10"/>
    </row>
    <row r="1017">
      <c r="B1017" s="10"/>
      <c r="C1017" s="26"/>
      <c r="D1017" s="26"/>
      <c r="E1017" s="10"/>
      <c r="F1017" s="10"/>
    </row>
    <row r="1018">
      <c r="B1018" s="10"/>
      <c r="C1018" s="26"/>
      <c r="D1018" s="26"/>
      <c r="E1018" s="10"/>
      <c r="F1018" s="10"/>
    </row>
    <row r="1019">
      <c r="B1019" s="10"/>
      <c r="C1019" s="26"/>
      <c r="D1019" s="26"/>
      <c r="E1019" s="10"/>
      <c r="F1019" s="10"/>
    </row>
    <row r="1020">
      <c r="B1020" s="10"/>
      <c r="C1020" s="26"/>
      <c r="D1020" s="26"/>
      <c r="E1020" s="10"/>
      <c r="F1020" s="10"/>
    </row>
    <row r="1021">
      <c r="B1021" s="10"/>
      <c r="C1021" s="26"/>
      <c r="D1021" s="26"/>
      <c r="E1021" s="10"/>
      <c r="F1021" s="10"/>
    </row>
    <row r="1022">
      <c r="B1022" s="10"/>
      <c r="C1022" s="26"/>
      <c r="D1022" s="26"/>
      <c r="E1022" s="10"/>
      <c r="F1022" s="10"/>
    </row>
    <row r="1023">
      <c r="B1023" s="10"/>
      <c r="C1023" s="26"/>
      <c r="D1023" s="26"/>
      <c r="E1023" s="10"/>
      <c r="F1023" s="10"/>
    </row>
    <row r="1024">
      <c r="B1024" s="10"/>
      <c r="C1024" s="26"/>
      <c r="D1024" s="26"/>
      <c r="E1024" s="10"/>
      <c r="F1024" s="10"/>
    </row>
    <row r="1025">
      <c r="B1025" s="10"/>
      <c r="C1025" s="26"/>
      <c r="D1025" s="26"/>
      <c r="E1025" s="10"/>
      <c r="F1025" s="10"/>
    </row>
    <row r="1026">
      <c r="B1026" s="10"/>
      <c r="C1026" s="26"/>
      <c r="D1026" s="26"/>
      <c r="E1026" s="10"/>
      <c r="F1026" s="10"/>
    </row>
    <row r="1027">
      <c r="B1027" s="10"/>
      <c r="C1027" s="26"/>
      <c r="D1027" s="26"/>
      <c r="E1027" s="10"/>
      <c r="F1027" s="10"/>
    </row>
    <row r="1028">
      <c r="B1028" s="10"/>
      <c r="C1028" s="26"/>
      <c r="D1028" s="26"/>
      <c r="E1028" s="10"/>
      <c r="F1028" s="10"/>
    </row>
    <row r="1029">
      <c r="B1029" s="10"/>
      <c r="C1029" s="26"/>
      <c r="D1029" s="26"/>
      <c r="E1029" s="10"/>
      <c r="F1029" s="10"/>
    </row>
    <row r="1030">
      <c r="B1030" s="10"/>
      <c r="C1030" s="26"/>
      <c r="D1030" s="26"/>
      <c r="E1030" s="10"/>
      <c r="F1030" s="10"/>
    </row>
    <row r="1031">
      <c r="B1031" s="10"/>
      <c r="C1031" s="26"/>
      <c r="D1031" s="26"/>
      <c r="E1031" s="10"/>
      <c r="F1031" s="10"/>
    </row>
    <row r="1032">
      <c r="B1032" s="10"/>
      <c r="C1032" s="26"/>
      <c r="D1032" s="26"/>
      <c r="E1032" s="10"/>
      <c r="F1032" s="10"/>
    </row>
    <row r="1033">
      <c r="B1033" s="10"/>
      <c r="C1033" s="26"/>
      <c r="D1033" s="26"/>
      <c r="E1033" s="10"/>
      <c r="F1033" s="10"/>
    </row>
    <row r="1034">
      <c r="B1034" s="10"/>
      <c r="C1034" s="26"/>
      <c r="D1034" s="26"/>
      <c r="E1034" s="10"/>
      <c r="F1034" s="10"/>
    </row>
    <row r="1035">
      <c r="B1035" s="10"/>
      <c r="C1035" s="26"/>
      <c r="D1035" s="26"/>
      <c r="E1035" s="10"/>
      <c r="F1035" s="10"/>
    </row>
    <row r="1036">
      <c r="B1036" s="10"/>
      <c r="C1036" s="26"/>
      <c r="D1036" s="26"/>
      <c r="E1036" s="10"/>
      <c r="F1036" s="10"/>
    </row>
    <row r="1037">
      <c r="B1037" s="10"/>
      <c r="C1037" s="26"/>
      <c r="D1037" s="26"/>
      <c r="E1037" s="10"/>
      <c r="F1037" s="10"/>
    </row>
    <row r="1038">
      <c r="B1038" s="10"/>
      <c r="C1038" s="26"/>
      <c r="D1038" s="26"/>
      <c r="E1038" s="10"/>
      <c r="F1038" s="10"/>
    </row>
    <row r="1039">
      <c r="B1039" s="10"/>
      <c r="C1039" s="26"/>
      <c r="D1039" s="26"/>
      <c r="E1039" s="10"/>
      <c r="F1039" s="10"/>
    </row>
    <row r="1040">
      <c r="B1040" s="10"/>
      <c r="C1040" s="26"/>
      <c r="D1040" s="26"/>
      <c r="E1040" s="10"/>
      <c r="F1040" s="10"/>
    </row>
    <row r="1041">
      <c r="B1041" s="10"/>
      <c r="C1041" s="26"/>
      <c r="D1041" s="26"/>
      <c r="E1041" s="10"/>
      <c r="F1041" s="10"/>
    </row>
    <row r="1042">
      <c r="B1042" s="10"/>
      <c r="C1042" s="26"/>
      <c r="D1042" s="26"/>
      <c r="E1042" s="10"/>
      <c r="F1042" s="10"/>
    </row>
    <row r="1043">
      <c r="B1043" s="10"/>
      <c r="C1043" s="26"/>
      <c r="D1043" s="26"/>
      <c r="E1043" s="10"/>
      <c r="F1043" s="10"/>
    </row>
    <row r="1044">
      <c r="B1044" s="10"/>
      <c r="C1044" s="26"/>
      <c r="D1044" s="26"/>
      <c r="E1044" s="10"/>
      <c r="F1044" s="10"/>
    </row>
    <row r="1045">
      <c r="B1045" s="10"/>
      <c r="C1045" s="26"/>
      <c r="D1045" s="26"/>
      <c r="E1045" s="10"/>
      <c r="F1045" s="10"/>
    </row>
    <row r="1046">
      <c r="B1046" s="10"/>
      <c r="C1046" s="26"/>
      <c r="D1046" s="26"/>
      <c r="E1046" s="10"/>
      <c r="F1046" s="10"/>
    </row>
    <row r="1047">
      <c r="B1047" s="10"/>
      <c r="C1047" s="26"/>
      <c r="D1047" s="26"/>
      <c r="E1047" s="10"/>
      <c r="F1047" s="10"/>
    </row>
    <row r="1048">
      <c r="B1048" s="10"/>
      <c r="C1048" s="26"/>
      <c r="D1048" s="26"/>
      <c r="E1048" s="10"/>
      <c r="F1048" s="10"/>
    </row>
    <row r="1049">
      <c r="B1049" s="10"/>
      <c r="C1049" s="26"/>
      <c r="D1049" s="26"/>
      <c r="E1049" s="10"/>
      <c r="F1049" s="10"/>
    </row>
    <row r="1050">
      <c r="B1050" s="10"/>
      <c r="C1050" s="26"/>
      <c r="D1050" s="26"/>
      <c r="E1050" s="10"/>
      <c r="F1050" s="10"/>
    </row>
    <row r="1051">
      <c r="B1051" s="10"/>
      <c r="C1051" s="26"/>
      <c r="D1051" s="26"/>
      <c r="E1051" s="10"/>
      <c r="F1051" s="10"/>
    </row>
    <row r="1052">
      <c r="B1052" s="10"/>
      <c r="C1052" s="26"/>
      <c r="D1052" s="26"/>
      <c r="E1052" s="10"/>
      <c r="F1052" s="10"/>
    </row>
    <row r="1053">
      <c r="B1053" s="10"/>
      <c r="C1053" s="26"/>
      <c r="D1053" s="26"/>
      <c r="E1053" s="10"/>
      <c r="F1053" s="10"/>
    </row>
    <row r="1054">
      <c r="B1054" s="10"/>
      <c r="C1054" s="26"/>
      <c r="D1054" s="26"/>
      <c r="E1054" s="10"/>
      <c r="F1054" s="10"/>
    </row>
    <row r="1055">
      <c r="B1055" s="10"/>
      <c r="C1055" s="26"/>
      <c r="D1055" s="26"/>
      <c r="E1055" s="10"/>
      <c r="F1055" s="10"/>
    </row>
    <row r="1056">
      <c r="B1056" s="10"/>
      <c r="C1056" s="26"/>
      <c r="D1056" s="26"/>
      <c r="E1056" s="10"/>
      <c r="F1056" s="10"/>
    </row>
    <row r="1057">
      <c r="B1057" s="10"/>
      <c r="C1057" s="26"/>
      <c r="D1057" s="26"/>
      <c r="E1057" s="10"/>
      <c r="F1057" s="10"/>
    </row>
    <row r="1058">
      <c r="B1058" s="10"/>
      <c r="C1058" s="26"/>
      <c r="D1058" s="26"/>
      <c r="E1058" s="10"/>
      <c r="F1058" s="10"/>
    </row>
    <row r="1059">
      <c r="B1059" s="10"/>
      <c r="C1059" s="26"/>
      <c r="D1059" s="26"/>
      <c r="E1059" s="10"/>
      <c r="F1059" s="10"/>
    </row>
    <row r="1060">
      <c r="B1060" s="10"/>
      <c r="C1060" s="26"/>
      <c r="D1060" s="26"/>
      <c r="E1060" s="10"/>
      <c r="F1060" s="10"/>
    </row>
    <row r="1061">
      <c r="B1061" s="10"/>
      <c r="C1061" s="26"/>
      <c r="D1061" s="26"/>
      <c r="E1061" s="10"/>
      <c r="F1061" s="10"/>
    </row>
    <row r="1062">
      <c r="B1062" s="10"/>
      <c r="C1062" s="26"/>
      <c r="D1062" s="26"/>
      <c r="E1062" s="10"/>
      <c r="F1062" s="10"/>
    </row>
    <row r="1063">
      <c r="B1063" s="10"/>
      <c r="C1063" s="26"/>
      <c r="D1063" s="26"/>
      <c r="E1063" s="10"/>
      <c r="F1063" s="10"/>
    </row>
    <row r="1064">
      <c r="B1064" s="10"/>
      <c r="C1064" s="26"/>
      <c r="D1064" s="26"/>
      <c r="E1064" s="10"/>
      <c r="F1064" s="10"/>
    </row>
    <row r="1065">
      <c r="B1065" s="10"/>
      <c r="C1065" s="26"/>
      <c r="D1065" s="26"/>
      <c r="E1065" s="10"/>
      <c r="F1065" s="10"/>
    </row>
    <row r="1066">
      <c r="B1066" s="10"/>
      <c r="C1066" s="26"/>
      <c r="D1066" s="26"/>
      <c r="E1066" s="10"/>
      <c r="F1066" s="10"/>
    </row>
    <row r="1067">
      <c r="B1067" s="10"/>
      <c r="C1067" s="26"/>
      <c r="D1067" s="26"/>
      <c r="E1067" s="10"/>
      <c r="F1067" s="10"/>
    </row>
    <row r="1068">
      <c r="B1068" s="10"/>
      <c r="C1068" s="26"/>
      <c r="D1068" s="26"/>
      <c r="E1068" s="10"/>
      <c r="F1068" s="10"/>
    </row>
    <row r="1069">
      <c r="B1069" s="10"/>
      <c r="C1069" s="26"/>
      <c r="D1069" s="26"/>
      <c r="E1069" s="10"/>
      <c r="F1069" s="10"/>
    </row>
    <row r="1070">
      <c r="B1070" s="10"/>
      <c r="C1070" s="26"/>
      <c r="D1070" s="26"/>
      <c r="E1070" s="10"/>
      <c r="F1070" s="10"/>
    </row>
    <row r="1071">
      <c r="B1071" s="10"/>
      <c r="C1071" s="26"/>
      <c r="D1071" s="26"/>
      <c r="E1071" s="10"/>
      <c r="F1071" s="10"/>
    </row>
    <row r="1072">
      <c r="B1072" s="10"/>
      <c r="C1072" s="26"/>
      <c r="D1072" s="26"/>
      <c r="E1072" s="10"/>
      <c r="F1072" s="10"/>
    </row>
    <row r="1073">
      <c r="B1073" s="10"/>
      <c r="C1073" s="26"/>
      <c r="D1073" s="26"/>
      <c r="E1073" s="10"/>
      <c r="F1073" s="10"/>
    </row>
    <row r="1074">
      <c r="B1074" s="10"/>
      <c r="C1074" s="26"/>
      <c r="D1074" s="26"/>
      <c r="E1074" s="10"/>
      <c r="F1074" s="10"/>
    </row>
    <row r="1075">
      <c r="B1075" s="10"/>
      <c r="C1075" s="26"/>
      <c r="D1075" s="26"/>
      <c r="E1075" s="10"/>
      <c r="F1075" s="10"/>
    </row>
    <row r="1076">
      <c r="B1076" s="10"/>
      <c r="C1076" s="26"/>
      <c r="D1076" s="26"/>
      <c r="E1076" s="10"/>
      <c r="F1076" s="10"/>
    </row>
    <row r="1077">
      <c r="B1077" s="10"/>
      <c r="C1077" s="26"/>
      <c r="D1077" s="26"/>
      <c r="E1077" s="10"/>
      <c r="F1077" s="10"/>
    </row>
    <row r="1078">
      <c r="B1078" s="10"/>
      <c r="C1078" s="26"/>
      <c r="D1078" s="26"/>
      <c r="E1078" s="10"/>
      <c r="F1078" s="10"/>
    </row>
    <row r="1079">
      <c r="B1079" s="10"/>
      <c r="C1079" s="26"/>
      <c r="D1079" s="26"/>
      <c r="E1079" s="10"/>
      <c r="F1079" s="10"/>
    </row>
    <row r="1080">
      <c r="B1080" s="10"/>
      <c r="C1080" s="26"/>
      <c r="D1080" s="26"/>
      <c r="E1080" s="10"/>
      <c r="F1080" s="10"/>
    </row>
    <row r="1081">
      <c r="B1081" s="10"/>
      <c r="C1081" s="26"/>
      <c r="D1081" s="26"/>
      <c r="E1081" s="10"/>
      <c r="F1081" s="10"/>
    </row>
    <row r="1082">
      <c r="B1082" s="10"/>
      <c r="C1082" s="26"/>
      <c r="D1082" s="26"/>
      <c r="E1082" s="10"/>
      <c r="F1082" s="10"/>
    </row>
    <row r="1083">
      <c r="B1083" s="10"/>
      <c r="C1083" s="26"/>
      <c r="D1083" s="26"/>
      <c r="E1083" s="10"/>
      <c r="F1083" s="10"/>
    </row>
    <row r="1084">
      <c r="B1084" s="10"/>
      <c r="C1084" s="26"/>
      <c r="D1084" s="26"/>
      <c r="E1084" s="10"/>
      <c r="F1084" s="10"/>
    </row>
    <row r="1085">
      <c r="B1085" s="10"/>
      <c r="C1085" s="26"/>
      <c r="D1085" s="26"/>
      <c r="E1085" s="10"/>
      <c r="F1085" s="10"/>
    </row>
    <row r="1086">
      <c r="B1086" s="10"/>
      <c r="C1086" s="26"/>
      <c r="D1086" s="26"/>
      <c r="E1086" s="10"/>
      <c r="F1086" s="10"/>
    </row>
    <row r="1087">
      <c r="B1087" s="10"/>
      <c r="C1087" s="26"/>
      <c r="D1087" s="26"/>
      <c r="E1087" s="10"/>
      <c r="F1087" s="10"/>
    </row>
    <row r="1088">
      <c r="B1088" s="10"/>
      <c r="C1088" s="26"/>
      <c r="D1088" s="26"/>
      <c r="E1088" s="10"/>
      <c r="F1088" s="10"/>
    </row>
    <row r="1089">
      <c r="B1089" s="10"/>
      <c r="C1089" s="26"/>
      <c r="D1089" s="26"/>
      <c r="E1089" s="10"/>
      <c r="F1089" s="10"/>
    </row>
    <row r="1090">
      <c r="B1090" s="10"/>
      <c r="C1090" s="26"/>
      <c r="D1090" s="26"/>
      <c r="E1090" s="10"/>
      <c r="F1090" s="10"/>
    </row>
    <row r="1091">
      <c r="B1091" s="10"/>
      <c r="C1091" s="26"/>
      <c r="D1091" s="26"/>
      <c r="E1091" s="10"/>
      <c r="F1091" s="10"/>
    </row>
    <row r="1092">
      <c r="B1092" s="10"/>
      <c r="C1092" s="26"/>
      <c r="D1092" s="26"/>
      <c r="E1092" s="10"/>
      <c r="F1092" s="10"/>
    </row>
    <row r="1093">
      <c r="B1093" s="10"/>
      <c r="C1093" s="26"/>
      <c r="D1093" s="26"/>
      <c r="E1093" s="10"/>
      <c r="F1093" s="10"/>
    </row>
    <row r="1094">
      <c r="B1094" s="10"/>
      <c r="C1094" s="26"/>
      <c r="D1094" s="26"/>
      <c r="E1094" s="10"/>
      <c r="F1094" s="10"/>
    </row>
    <row r="1095">
      <c r="B1095" s="10"/>
      <c r="C1095" s="26"/>
      <c r="D1095" s="26"/>
      <c r="E1095" s="10"/>
      <c r="F1095" s="10"/>
    </row>
    <row r="1096">
      <c r="B1096" s="10"/>
      <c r="C1096" s="26"/>
      <c r="D1096" s="26"/>
      <c r="E1096" s="10"/>
      <c r="F1096" s="10"/>
    </row>
    <row r="1097">
      <c r="B1097" s="10"/>
      <c r="C1097" s="26"/>
      <c r="D1097" s="26"/>
      <c r="E1097" s="10"/>
      <c r="F1097" s="10"/>
    </row>
    <row r="1098">
      <c r="B1098" s="10"/>
      <c r="C1098" s="26"/>
      <c r="D1098" s="26"/>
      <c r="E1098" s="10"/>
      <c r="F1098" s="10"/>
    </row>
    <row r="1099">
      <c r="B1099" s="10"/>
      <c r="C1099" s="26"/>
      <c r="D1099" s="26"/>
      <c r="E1099" s="10"/>
      <c r="F1099" s="10"/>
    </row>
    <row r="1100">
      <c r="B1100" s="10"/>
      <c r="C1100" s="26"/>
      <c r="D1100" s="26"/>
      <c r="E1100" s="10"/>
      <c r="F1100" s="10"/>
    </row>
    <row r="1101">
      <c r="B1101" s="10"/>
      <c r="C1101" s="26"/>
      <c r="D1101" s="26"/>
      <c r="E1101" s="10"/>
      <c r="F1101" s="10"/>
    </row>
    <row r="1102">
      <c r="B1102" s="10"/>
      <c r="C1102" s="26"/>
      <c r="D1102" s="26"/>
      <c r="E1102" s="10"/>
      <c r="F1102" s="10"/>
    </row>
    <row r="1103">
      <c r="B1103" s="10"/>
      <c r="C1103" s="26"/>
      <c r="D1103" s="26"/>
      <c r="E1103" s="10"/>
      <c r="F1103" s="10"/>
    </row>
    <row r="1104">
      <c r="B1104" s="10"/>
      <c r="C1104" s="26"/>
      <c r="D1104" s="26"/>
      <c r="E1104" s="10"/>
      <c r="F1104" s="10"/>
    </row>
    <row r="1105">
      <c r="B1105" s="10"/>
      <c r="C1105" s="26"/>
      <c r="D1105" s="26"/>
      <c r="E1105" s="10"/>
      <c r="F1105" s="10"/>
    </row>
    <row r="1106">
      <c r="B1106" s="10"/>
      <c r="C1106" s="26"/>
      <c r="D1106" s="26"/>
      <c r="E1106" s="10"/>
      <c r="F1106" s="10"/>
    </row>
    <row r="1107">
      <c r="B1107" s="10"/>
      <c r="C1107" s="26"/>
      <c r="D1107" s="26"/>
      <c r="E1107" s="10"/>
      <c r="F1107" s="10"/>
    </row>
    <row r="1108">
      <c r="B1108" s="10"/>
      <c r="C1108" s="26"/>
      <c r="D1108" s="26"/>
      <c r="E1108" s="10"/>
      <c r="F1108" s="10"/>
    </row>
    <row r="1109">
      <c r="B1109" s="10"/>
      <c r="C1109" s="26"/>
      <c r="D1109" s="26"/>
      <c r="E1109" s="10"/>
      <c r="F1109" s="10"/>
    </row>
    <row r="1110">
      <c r="B1110" s="10"/>
      <c r="C1110" s="26"/>
      <c r="D1110" s="26"/>
      <c r="E1110" s="10"/>
      <c r="F1110" s="10"/>
    </row>
    <row r="1111">
      <c r="B1111" s="10"/>
      <c r="C1111" s="26"/>
      <c r="D1111" s="26"/>
      <c r="E1111" s="10"/>
      <c r="F1111" s="10"/>
    </row>
    <row r="1112">
      <c r="B1112" s="10"/>
      <c r="C1112" s="26"/>
      <c r="D1112" s="26"/>
      <c r="E1112" s="10"/>
      <c r="F1112" s="10"/>
    </row>
    <row r="1113">
      <c r="B1113" s="10"/>
      <c r="C1113" s="26"/>
      <c r="D1113" s="26"/>
      <c r="E1113" s="10"/>
      <c r="F1113" s="10"/>
    </row>
    <row r="1114">
      <c r="B1114" s="10"/>
      <c r="C1114" s="26"/>
      <c r="D1114" s="26"/>
      <c r="E1114" s="10"/>
      <c r="F1114" s="10"/>
    </row>
    <row r="1115">
      <c r="B1115" s="10"/>
      <c r="C1115" s="26"/>
      <c r="D1115" s="26"/>
      <c r="E1115" s="10"/>
      <c r="F1115" s="10"/>
    </row>
    <row r="1116">
      <c r="B1116" s="10"/>
      <c r="C1116" s="26"/>
      <c r="D1116" s="26"/>
      <c r="E1116" s="10"/>
      <c r="F1116" s="10"/>
    </row>
    <row r="1117">
      <c r="B1117" s="10"/>
      <c r="C1117" s="26"/>
      <c r="D1117" s="26"/>
      <c r="E1117" s="10"/>
      <c r="F1117" s="10"/>
    </row>
    <row r="1118">
      <c r="B1118" s="10"/>
      <c r="C1118" s="26"/>
      <c r="D1118" s="26"/>
      <c r="E1118" s="10"/>
      <c r="F1118" s="10"/>
    </row>
    <row r="1119">
      <c r="B1119" s="10"/>
      <c r="C1119" s="26"/>
      <c r="D1119" s="26"/>
      <c r="E1119" s="10"/>
      <c r="F1119" s="10"/>
    </row>
    <row r="1120">
      <c r="B1120" s="10"/>
      <c r="C1120" s="26"/>
      <c r="D1120" s="26"/>
      <c r="E1120" s="10"/>
      <c r="F1120" s="10"/>
    </row>
    <row r="1121">
      <c r="B1121" s="10"/>
      <c r="C1121" s="26"/>
      <c r="D1121" s="26"/>
      <c r="E1121" s="10"/>
      <c r="F1121" s="10"/>
    </row>
    <row r="1122">
      <c r="B1122" s="10"/>
      <c r="C1122" s="26"/>
      <c r="D1122" s="26"/>
      <c r="E1122" s="10"/>
      <c r="F1122" s="10"/>
    </row>
    <row r="1123">
      <c r="B1123" s="10"/>
      <c r="C1123" s="26"/>
      <c r="D1123" s="26"/>
      <c r="E1123" s="10"/>
      <c r="F1123" s="10"/>
    </row>
    <row r="1124">
      <c r="B1124" s="10"/>
      <c r="C1124" s="26"/>
      <c r="D1124" s="26"/>
      <c r="E1124" s="10"/>
      <c r="F1124" s="10"/>
    </row>
    <row r="1125">
      <c r="B1125" s="10"/>
      <c r="C1125" s="26"/>
      <c r="D1125" s="26"/>
      <c r="E1125" s="10"/>
      <c r="F1125" s="10"/>
    </row>
    <row r="1126">
      <c r="B1126" s="10"/>
      <c r="C1126" s="26"/>
      <c r="D1126" s="26"/>
      <c r="E1126" s="10"/>
      <c r="F1126" s="10"/>
    </row>
    <row r="1127">
      <c r="B1127" s="10"/>
      <c r="C1127" s="26"/>
      <c r="D1127" s="26"/>
      <c r="E1127" s="10"/>
      <c r="F1127" s="10"/>
    </row>
    <row r="1128">
      <c r="B1128" s="10"/>
      <c r="C1128" s="26"/>
      <c r="D1128" s="26"/>
      <c r="E1128" s="10"/>
      <c r="F1128" s="10"/>
    </row>
    <row r="1129">
      <c r="B1129" s="10"/>
      <c r="C1129" s="26"/>
      <c r="D1129" s="26"/>
      <c r="E1129" s="10"/>
      <c r="F1129" s="10"/>
    </row>
    <row r="1130">
      <c r="B1130" s="10"/>
      <c r="C1130" s="26"/>
      <c r="D1130" s="26"/>
      <c r="E1130" s="10"/>
      <c r="F1130" s="10"/>
    </row>
    <row r="1131">
      <c r="B1131" s="10"/>
      <c r="C1131" s="26"/>
      <c r="D1131" s="26"/>
      <c r="E1131" s="10"/>
      <c r="F1131" s="10"/>
    </row>
    <row r="1132">
      <c r="B1132" s="10"/>
      <c r="C1132" s="26"/>
      <c r="D1132" s="26"/>
      <c r="E1132" s="10"/>
      <c r="F1132" s="10"/>
    </row>
    <row r="1133">
      <c r="B1133" s="10"/>
      <c r="C1133" s="26"/>
      <c r="D1133" s="26"/>
      <c r="E1133" s="10"/>
      <c r="F1133" s="10"/>
    </row>
    <row r="1134">
      <c r="B1134" s="10"/>
      <c r="C1134" s="26"/>
      <c r="D1134" s="26"/>
      <c r="E1134" s="10"/>
      <c r="F1134" s="10"/>
    </row>
    <row r="1135">
      <c r="B1135" s="10"/>
      <c r="C1135" s="26"/>
      <c r="D1135" s="26"/>
      <c r="E1135" s="10"/>
      <c r="F1135" s="10"/>
    </row>
    <row r="1136">
      <c r="B1136" s="10"/>
      <c r="C1136" s="26"/>
      <c r="D1136" s="26"/>
      <c r="E1136" s="10"/>
      <c r="F1136" s="10"/>
    </row>
    <row r="1137">
      <c r="B1137" s="10"/>
      <c r="C1137" s="26"/>
      <c r="D1137" s="26"/>
      <c r="E1137" s="10"/>
      <c r="F1137" s="10"/>
    </row>
    <row r="1138">
      <c r="B1138" s="10"/>
      <c r="C1138" s="26"/>
      <c r="D1138" s="26"/>
      <c r="E1138" s="10"/>
      <c r="F1138" s="10"/>
    </row>
    <row r="1139">
      <c r="B1139" s="10"/>
      <c r="C1139" s="26"/>
      <c r="D1139" s="26"/>
      <c r="E1139" s="10"/>
      <c r="F1139" s="10"/>
    </row>
    <row r="1140">
      <c r="B1140" s="10"/>
      <c r="C1140" s="26"/>
      <c r="D1140" s="26"/>
      <c r="E1140" s="10"/>
      <c r="F1140" s="10"/>
    </row>
    <row r="1141">
      <c r="B1141" s="10"/>
      <c r="C1141" s="26"/>
      <c r="D1141" s="26"/>
      <c r="E1141" s="10"/>
      <c r="F1141" s="10"/>
    </row>
    <row r="1142">
      <c r="B1142" s="10"/>
      <c r="C1142" s="26"/>
      <c r="D1142" s="26"/>
      <c r="E1142" s="10"/>
      <c r="F1142" s="10"/>
    </row>
    <row r="1143">
      <c r="B1143" s="10"/>
      <c r="C1143" s="26"/>
      <c r="D1143" s="26"/>
      <c r="E1143" s="10"/>
      <c r="F1143" s="10"/>
    </row>
    <row r="1144">
      <c r="B1144" s="10"/>
      <c r="C1144" s="26"/>
      <c r="D1144" s="26"/>
      <c r="E1144" s="10"/>
      <c r="F1144" s="10"/>
    </row>
    <row r="1145">
      <c r="B1145" s="10"/>
      <c r="C1145" s="26"/>
      <c r="D1145" s="26"/>
      <c r="E1145" s="10"/>
      <c r="F1145" s="10"/>
    </row>
    <row r="1146">
      <c r="B1146" s="10"/>
      <c r="C1146" s="26"/>
      <c r="D1146" s="26"/>
      <c r="E1146" s="10"/>
      <c r="F1146" s="10"/>
    </row>
    <row r="1147">
      <c r="B1147" s="10"/>
      <c r="C1147" s="26"/>
      <c r="D1147" s="26"/>
      <c r="E1147" s="10"/>
      <c r="F1147" s="10"/>
    </row>
    <row r="1148">
      <c r="B1148" s="10"/>
      <c r="C1148" s="26"/>
      <c r="D1148" s="26"/>
      <c r="E1148" s="10"/>
      <c r="F1148" s="10"/>
    </row>
    <row r="1149">
      <c r="B1149" s="10"/>
      <c r="C1149" s="26"/>
      <c r="D1149" s="26"/>
      <c r="E1149" s="10"/>
      <c r="F1149" s="10"/>
    </row>
    <row r="1150">
      <c r="B1150" s="10"/>
      <c r="C1150" s="26"/>
      <c r="D1150" s="26"/>
      <c r="E1150" s="10"/>
      <c r="F1150" s="10"/>
    </row>
    <row r="1151">
      <c r="B1151" s="10"/>
      <c r="C1151" s="26"/>
      <c r="D1151" s="26"/>
      <c r="E1151" s="10"/>
      <c r="F1151" s="10"/>
    </row>
    <row r="1152">
      <c r="B1152" s="10"/>
      <c r="C1152" s="26"/>
      <c r="D1152" s="26"/>
      <c r="E1152" s="10"/>
      <c r="F1152" s="10"/>
    </row>
    <row r="1153">
      <c r="B1153" s="10"/>
      <c r="C1153" s="26"/>
      <c r="D1153" s="26"/>
      <c r="E1153" s="10"/>
      <c r="F1153" s="10"/>
    </row>
    <row r="1154">
      <c r="B1154" s="10"/>
      <c r="C1154" s="26"/>
      <c r="D1154" s="26"/>
      <c r="E1154" s="10"/>
      <c r="F1154" s="10"/>
    </row>
    <row r="1155">
      <c r="B1155" s="10"/>
      <c r="C1155" s="26"/>
      <c r="D1155" s="26"/>
      <c r="E1155" s="10"/>
      <c r="F1155" s="10"/>
    </row>
    <row r="1156">
      <c r="B1156" s="10"/>
      <c r="C1156" s="26"/>
      <c r="D1156" s="26"/>
      <c r="E1156" s="10"/>
      <c r="F1156" s="10"/>
    </row>
    <row r="1157">
      <c r="B1157" s="10"/>
      <c r="C1157" s="26"/>
      <c r="D1157" s="26"/>
      <c r="E1157" s="10"/>
      <c r="F1157" s="10"/>
    </row>
    <row r="1158">
      <c r="B1158" s="10"/>
      <c r="C1158" s="26"/>
      <c r="D1158" s="26"/>
      <c r="E1158" s="10"/>
      <c r="F1158" s="10"/>
    </row>
    <row r="1159">
      <c r="B1159" s="10"/>
      <c r="C1159" s="26"/>
      <c r="D1159" s="26"/>
      <c r="E1159" s="10"/>
      <c r="F1159" s="10"/>
    </row>
    <row r="1160">
      <c r="B1160" s="10"/>
      <c r="C1160" s="26"/>
      <c r="D1160" s="26"/>
      <c r="E1160" s="10"/>
      <c r="F1160" s="10"/>
    </row>
    <row r="1161">
      <c r="B1161" s="10"/>
      <c r="C1161" s="26"/>
      <c r="D1161" s="26"/>
      <c r="E1161" s="10"/>
      <c r="F1161" s="10"/>
    </row>
    <row r="1162">
      <c r="B1162" s="10"/>
      <c r="C1162" s="26"/>
      <c r="D1162" s="26"/>
      <c r="E1162" s="10"/>
      <c r="F1162" s="10"/>
    </row>
    <row r="1163">
      <c r="B1163" s="10"/>
      <c r="C1163" s="26"/>
      <c r="D1163" s="26"/>
      <c r="E1163" s="10"/>
      <c r="F1163" s="10"/>
    </row>
    <row r="1164">
      <c r="B1164" s="10"/>
      <c r="C1164" s="26"/>
      <c r="D1164" s="26"/>
      <c r="E1164" s="10"/>
      <c r="F1164" s="10"/>
    </row>
    <row r="1165">
      <c r="B1165" s="10"/>
      <c r="C1165" s="26"/>
      <c r="D1165" s="26"/>
      <c r="E1165" s="10"/>
      <c r="F1165" s="10"/>
    </row>
    <row r="1166">
      <c r="B1166" s="10"/>
      <c r="C1166" s="26"/>
      <c r="D1166" s="26"/>
      <c r="E1166" s="10"/>
      <c r="F1166" s="10"/>
    </row>
    <row r="1167">
      <c r="B1167" s="10"/>
      <c r="C1167" s="26"/>
      <c r="D1167" s="26"/>
      <c r="E1167" s="10"/>
      <c r="F1167" s="10"/>
    </row>
    <row r="1168">
      <c r="B1168" s="10"/>
      <c r="C1168" s="26"/>
      <c r="D1168" s="26"/>
      <c r="E1168" s="10"/>
      <c r="F1168" s="10"/>
    </row>
    <row r="1169">
      <c r="B1169" s="10"/>
      <c r="C1169" s="26"/>
      <c r="D1169" s="26"/>
      <c r="E1169" s="10"/>
      <c r="F1169" s="10"/>
    </row>
    <row r="1170">
      <c r="B1170" s="10"/>
      <c r="C1170" s="26"/>
      <c r="D1170" s="26"/>
      <c r="E1170" s="10"/>
      <c r="F1170" s="10"/>
    </row>
    <row r="1171">
      <c r="B1171" s="10"/>
      <c r="C1171" s="26"/>
      <c r="D1171" s="26"/>
      <c r="E1171" s="10"/>
      <c r="F1171" s="10"/>
    </row>
    <row r="1172">
      <c r="B1172" s="10"/>
      <c r="C1172" s="26"/>
      <c r="D1172" s="26"/>
      <c r="E1172" s="10"/>
      <c r="F1172" s="10"/>
    </row>
    <row r="1173">
      <c r="B1173" s="10"/>
      <c r="C1173" s="26"/>
      <c r="D1173" s="26"/>
      <c r="E1173" s="10"/>
      <c r="F1173" s="10"/>
    </row>
    <row r="1174">
      <c r="B1174" s="10"/>
      <c r="C1174" s="26"/>
      <c r="D1174" s="26"/>
      <c r="E1174" s="10"/>
      <c r="F1174" s="10"/>
    </row>
    <row r="1175">
      <c r="B1175" s="10"/>
      <c r="C1175" s="26"/>
      <c r="D1175" s="26"/>
      <c r="E1175" s="10"/>
      <c r="F1175" s="10"/>
    </row>
    <row r="1176">
      <c r="B1176" s="10"/>
      <c r="C1176" s="26"/>
      <c r="D1176" s="26"/>
      <c r="E1176" s="10"/>
      <c r="F1176" s="10"/>
    </row>
    <row r="1177">
      <c r="B1177" s="10"/>
      <c r="C1177" s="26"/>
      <c r="D1177" s="26"/>
      <c r="E1177" s="10"/>
      <c r="F1177" s="10"/>
    </row>
    <row r="1178">
      <c r="B1178" s="10"/>
      <c r="C1178" s="26"/>
      <c r="D1178" s="26"/>
      <c r="E1178" s="10"/>
      <c r="F1178" s="10"/>
    </row>
    <row r="1179">
      <c r="B1179" s="10"/>
      <c r="C1179" s="26"/>
      <c r="D1179" s="26"/>
      <c r="E1179" s="10"/>
      <c r="F1179" s="10"/>
    </row>
    <row r="1180">
      <c r="B1180" s="10"/>
      <c r="C1180" s="26"/>
      <c r="D1180" s="26"/>
      <c r="E1180" s="10"/>
      <c r="F1180" s="10"/>
    </row>
    <row r="1181">
      <c r="B1181" s="10"/>
      <c r="C1181" s="26"/>
      <c r="D1181" s="26"/>
      <c r="E1181" s="10"/>
      <c r="F1181" s="10"/>
    </row>
    <row r="1182">
      <c r="B1182" s="10"/>
      <c r="C1182" s="26"/>
      <c r="D1182" s="26"/>
      <c r="E1182" s="10"/>
      <c r="F1182" s="10"/>
    </row>
    <row r="1183">
      <c r="B1183" s="10"/>
      <c r="C1183" s="26"/>
      <c r="D1183" s="26"/>
      <c r="E1183" s="10"/>
      <c r="F1183" s="10"/>
    </row>
    <row r="1184">
      <c r="B1184" s="10"/>
      <c r="C1184" s="26"/>
      <c r="D1184" s="26"/>
      <c r="E1184" s="10"/>
      <c r="F1184" s="10"/>
    </row>
    <row r="1185">
      <c r="B1185" s="10"/>
      <c r="C1185" s="26"/>
      <c r="D1185" s="26"/>
      <c r="E1185" s="10"/>
      <c r="F1185" s="10"/>
    </row>
    <row r="1186">
      <c r="B1186" s="10"/>
      <c r="C1186" s="26"/>
      <c r="D1186" s="26"/>
      <c r="E1186" s="10"/>
      <c r="F1186" s="10"/>
    </row>
    <row r="1187">
      <c r="B1187" s="10"/>
      <c r="C1187" s="26"/>
      <c r="D1187" s="26"/>
      <c r="E1187" s="10"/>
      <c r="F1187" s="10"/>
    </row>
    <row r="1188">
      <c r="B1188" s="10"/>
      <c r="C1188" s="26"/>
      <c r="D1188" s="26"/>
      <c r="E1188" s="10"/>
      <c r="F1188" s="10"/>
    </row>
    <row r="1189">
      <c r="B1189" s="10"/>
      <c r="C1189" s="26"/>
      <c r="D1189" s="26"/>
      <c r="E1189" s="10"/>
      <c r="F1189" s="10"/>
    </row>
    <row r="1190">
      <c r="B1190" s="10"/>
      <c r="C1190" s="26"/>
      <c r="D1190" s="26"/>
      <c r="E1190" s="10"/>
      <c r="F1190" s="10"/>
    </row>
    <row r="1191">
      <c r="B1191" s="10"/>
      <c r="C1191" s="26"/>
      <c r="D1191" s="26"/>
      <c r="E1191" s="10"/>
      <c r="F1191" s="10"/>
    </row>
    <row r="1192">
      <c r="B1192" s="10"/>
      <c r="C1192" s="26"/>
      <c r="D1192" s="26"/>
      <c r="E1192" s="10"/>
      <c r="F1192" s="10"/>
    </row>
    <row r="1193">
      <c r="B1193" s="10"/>
      <c r="C1193" s="26"/>
      <c r="D1193" s="26"/>
      <c r="E1193" s="10"/>
      <c r="F1193" s="10"/>
    </row>
    <row r="1194">
      <c r="B1194" s="10"/>
      <c r="C1194" s="26"/>
      <c r="D1194" s="26"/>
      <c r="E1194" s="10"/>
      <c r="F1194" s="10"/>
    </row>
    <row r="1195">
      <c r="B1195" s="10"/>
      <c r="C1195" s="26"/>
      <c r="D1195" s="26"/>
      <c r="E1195" s="10"/>
      <c r="F1195" s="10"/>
    </row>
    <row r="1196">
      <c r="B1196" s="10"/>
      <c r="C1196" s="26"/>
      <c r="D1196" s="26"/>
      <c r="E1196" s="10"/>
      <c r="F1196" s="10"/>
    </row>
    <row r="1197">
      <c r="B1197" s="10"/>
      <c r="C1197" s="26"/>
      <c r="D1197" s="26"/>
      <c r="E1197" s="10"/>
      <c r="F1197" s="10"/>
    </row>
    <row r="1198">
      <c r="B1198" s="10"/>
      <c r="C1198" s="26"/>
      <c r="D1198" s="26"/>
      <c r="E1198" s="10"/>
      <c r="F1198" s="10"/>
    </row>
    <row r="1199">
      <c r="B1199" s="10"/>
      <c r="C1199" s="26"/>
      <c r="D1199" s="26"/>
      <c r="E1199" s="10"/>
      <c r="F1199" s="10"/>
    </row>
    <row r="1200">
      <c r="B1200" s="10"/>
      <c r="C1200" s="26"/>
      <c r="D1200" s="26"/>
      <c r="E1200" s="10"/>
      <c r="F1200" s="10"/>
    </row>
    <row r="1201">
      <c r="B1201" s="10"/>
      <c r="C1201" s="26"/>
      <c r="D1201" s="26"/>
      <c r="E1201" s="10"/>
      <c r="F1201" s="10"/>
    </row>
    <row r="1202">
      <c r="B1202" s="10"/>
      <c r="C1202" s="26"/>
      <c r="D1202" s="26"/>
      <c r="E1202" s="10"/>
      <c r="F1202" s="10"/>
    </row>
    <row r="1203">
      <c r="B1203" s="10"/>
      <c r="C1203" s="26"/>
      <c r="D1203" s="26"/>
      <c r="E1203" s="10"/>
      <c r="F1203" s="10"/>
    </row>
    <row r="1204">
      <c r="B1204" s="10"/>
      <c r="C1204" s="26"/>
      <c r="D1204" s="26"/>
      <c r="E1204" s="10"/>
      <c r="F1204" s="10"/>
    </row>
    <row r="1205">
      <c r="B1205" s="10"/>
      <c r="C1205" s="26"/>
      <c r="D1205" s="26"/>
      <c r="E1205" s="10"/>
      <c r="F1205" s="10"/>
    </row>
    <row r="1206">
      <c r="B1206" s="10"/>
      <c r="C1206" s="26"/>
      <c r="D1206" s="26"/>
      <c r="E1206" s="10"/>
      <c r="F1206" s="10"/>
    </row>
    <row r="1207">
      <c r="B1207" s="10"/>
      <c r="C1207" s="26"/>
      <c r="D1207" s="26"/>
      <c r="E1207" s="10"/>
      <c r="F1207" s="10"/>
    </row>
    <row r="1208">
      <c r="B1208" s="10"/>
      <c r="C1208" s="26"/>
      <c r="D1208" s="26"/>
      <c r="E1208" s="10"/>
      <c r="F1208" s="10"/>
    </row>
    <row r="1209">
      <c r="B1209" s="10"/>
      <c r="C1209" s="26"/>
      <c r="D1209" s="26"/>
      <c r="E1209" s="10"/>
      <c r="F1209" s="10"/>
    </row>
    <row r="1210">
      <c r="B1210" s="10"/>
      <c r="C1210" s="26"/>
      <c r="D1210" s="26"/>
      <c r="E1210" s="10"/>
      <c r="F1210" s="10"/>
    </row>
    <row r="1211">
      <c r="B1211" s="10"/>
      <c r="C1211" s="26"/>
      <c r="D1211" s="26"/>
      <c r="E1211" s="10"/>
      <c r="F1211" s="10"/>
    </row>
    <row r="1212">
      <c r="B1212" s="10"/>
      <c r="C1212" s="26"/>
      <c r="D1212" s="26"/>
      <c r="E1212" s="10"/>
      <c r="F1212" s="10"/>
    </row>
    <row r="1213">
      <c r="B1213" s="10"/>
      <c r="C1213" s="26"/>
      <c r="D1213" s="26"/>
      <c r="E1213" s="10"/>
      <c r="F1213" s="10"/>
    </row>
    <row r="1214">
      <c r="B1214" s="10"/>
      <c r="C1214" s="26"/>
      <c r="D1214" s="26"/>
      <c r="E1214" s="10"/>
      <c r="F1214" s="10"/>
    </row>
    <row r="1215">
      <c r="B1215" s="10"/>
      <c r="C1215" s="26"/>
      <c r="D1215" s="26"/>
      <c r="E1215" s="10"/>
      <c r="F1215" s="10"/>
    </row>
    <row r="1216">
      <c r="B1216" s="10"/>
      <c r="C1216" s="26"/>
      <c r="D1216" s="26"/>
      <c r="E1216" s="10"/>
      <c r="F1216" s="10"/>
    </row>
    <row r="1217">
      <c r="B1217" s="10"/>
      <c r="C1217" s="26"/>
      <c r="D1217" s="26"/>
      <c r="E1217" s="10"/>
      <c r="F1217" s="10"/>
    </row>
    <row r="1218">
      <c r="B1218" s="10"/>
      <c r="C1218" s="26"/>
      <c r="D1218" s="26"/>
      <c r="E1218" s="10"/>
      <c r="F1218" s="10"/>
    </row>
    <row r="1219">
      <c r="B1219" s="10"/>
      <c r="C1219" s="26"/>
      <c r="D1219" s="26"/>
      <c r="E1219" s="10"/>
      <c r="F1219" s="10"/>
    </row>
    <row r="1220">
      <c r="B1220" s="10"/>
      <c r="C1220" s="26"/>
      <c r="D1220" s="26"/>
      <c r="E1220" s="10"/>
      <c r="F1220" s="10"/>
    </row>
    <row r="1221">
      <c r="B1221" s="10"/>
      <c r="C1221" s="26"/>
      <c r="D1221" s="26"/>
      <c r="E1221" s="10"/>
      <c r="F1221" s="10"/>
    </row>
    <row r="1222">
      <c r="B1222" s="10"/>
      <c r="C1222" s="26"/>
      <c r="D1222" s="26"/>
      <c r="E1222" s="10"/>
      <c r="F1222" s="10"/>
    </row>
    <row r="1223">
      <c r="B1223" s="10"/>
      <c r="C1223" s="26"/>
      <c r="D1223" s="26"/>
      <c r="E1223" s="10"/>
      <c r="F1223" s="10"/>
    </row>
    <row r="1224">
      <c r="B1224" s="10"/>
      <c r="C1224" s="26"/>
      <c r="D1224" s="26"/>
      <c r="E1224" s="10"/>
      <c r="F1224" s="10"/>
    </row>
    <row r="1225">
      <c r="B1225" s="10"/>
      <c r="C1225" s="26"/>
      <c r="D1225" s="26"/>
      <c r="E1225" s="10"/>
      <c r="F1225" s="10"/>
    </row>
    <row r="1226">
      <c r="B1226" s="10"/>
      <c r="C1226" s="26"/>
      <c r="D1226" s="26"/>
      <c r="E1226" s="10"/>
      <c r="F1226" s="10"/>
    </row>
    <row r="1227">
      <c r="B1227" s="10"/>
      <c r="C1227" s="26"/>
      <c r="D1227" s="26"/>
      <c r="E1227" s="10"/>
      <c r="F1227" s="10"/>
    </row>
    <row r="1228">
      <c r="B1228" s="10"/>
      <c r="C1228" s="26"/>
      <c r="D1228" s="26"/>
      <c r="E1228" s="10"/>
      <c r="F1228" s="10"/>
    </row>
    <row r="1229">
      <c r="B1229" s="10"/>
      <c r="C1229" s="26"/>
      <c r="D1229" s="26"/>
      <c r="E1229" s="10"/>
      <c r="F1229" s="10"/>
    </row>
    <row r="1230">
      <c r="B1230" s="10"/>
      <c r="C1230" s="26"/>
      <c r="D1230" s="26"/>
      <c r="E1230" s="10"/>
      <c r="F1230" s="10"/>
    </row>
    <row r="1231">
      <c r="B1231" s="10"/>
      <c r="C1231" s="26"/>
      <c r="D1231" s="26"/>
      <c r="E1231" s="10"/>
      <c r="F1231" s="10"/>
    </row>
    <row r="1232">
      <c r="B1232" s="10"/>
      <c r="C1232" s="26"/>
      <c r="D1232" s="26"/>
      <c r="E1232" s="10"/>
      <c r="F1232" s="10"/>
    </row>
    <row r="1233">
      <c r="B1233" s="10"/>
      <c r="C1233" s="26"/>
      <c r="D1233" s="26"/>
      <c r="E1233" s="10"/>
      <c r="F1233" s="10"/>
    </row>
    <row r="1234">
      <c r="B1234" s="10"/>
      <c r="C1234" s="26"/>
      <c r="D1234" s="26"/>
      <c r="E1234" s="10"/>
      <c r="F1234" s="10"/>
    </row>
    <row r="1235">
      <c r="B1235" s="10"/>
      <c r="C1235" s="26"/>
      <c r="D1235" s="26"/>
      <c r="E1235" s="10"/>
      <c r="F1235" s="10"/>
    </row>
    <row r="1236">
      <c r="B1236" s="10"/>
      <c r="C1236" s="26"/>
      <c r="D1236" s="26"/>
      <c r="E1236" s="10"/>
      <c r="F1236" s="10"/>
    </row>
    <row r="1237">
      <c r="B1237" s="10"/>
      <c r="C1237" s="26"/>
      <c r="D1237" s="26"/>
      <c r="E1237" s="10"/>
      <c r="F1237" s="10"/>
    </row>
    <row r="1238">
      <c r="B1238" s="10"/>
      <c r="C1238" s="26"/>
      <c r="D1238" s="26"/>
      <c r="E1238" s="10"/>
      <c r="F1238" s="10"/>
    </row>
    <row r="1239">
      <c r="B1239" s="10"/>
      <c r="C1239" s="26"/>
      <c r="D1239" s="26"/>
      <c r="E1239" s="10"/>
      <c r="F1239" s="10"/>
    </row>
    <row r="1240">
      <c r="B1240" s="10"/>
      <c r="C1240" s="26"/>
      <c r="D1240" s="26"/>
      <c r="E1240" s="10"/>
      <c r="F1240" s="10"/>
    </row>
    <row r="1241">
      <c r="B1241" s="10"/>
      <c r="C1241" s="26"/>
      <c r="D1241" s="26"/>
      <c r="E1241" s="10"/>
      <c r="F1241" s="10"/>
    </row>
    <row r="1242">
      <c r="B1242" s="10"/>
      <c r="C1242" s="26"/>
      <c r="D1242" s="26"/>
      <c r="E1242" s="10"/>
      <c r="F1242" s="10"/>
    </row>
    <row r="1243">
      <c r="B1243" s="10"/>
      <c r="C1243" s="26"/>
      <c r="D1243" s="26"/>
      <c r="E1243" s="10"/>
      <c r="F1243" s="10"/>
    </row>
    <row r="1244">
      <c r="B1244" s="10"/>
      <c r="C1244" s="26"/>
      <c r="D1244" s="26"/>
      <c r="E1244" s="10"/>
      <c r="F1244" s="10"/>
    </row>
    <row r="1245">
      <c r="B1245" s="10"/>
      <c r="C1245" s="26"/>
      <c r="D1245" s="26"/>
      <c r="E1245" s="10"/>
      <c r="F1245" s="10"/>
    </row>
    <row r="1246">
      <c r="B1246" s="10"/>
      <c r="C1246" s="26"/>
      <c r="D1246" s="26"/>
      <c r="E1246" s="10"/>
      <c r="F1246" s="10"/>
    </row>
    <row r="1247">
      <c r="B1247" s="10"/>
      <c r="C1247" s="26"/>
      <c r="D1247" s="26"/>
      <c r="E1247" s="10"/>
      <c r="F1247" s="10"/>
    </row>
    <row r="1248">
      <c r="B1248" s="10"/>
      <c r="C1248" s="26"/>
      <c r="D1248" s="26"/>
      <c r="E1248" s="10"/>
      <c r="F1248" s="10"/>
    </row>
    <row r="1249">
      <c r="B1249" s="10"/>
      <c r="C1249" s="26"/>
      <c r="D1249" s="26"/>
      <c r="E1249" s="10"/>
      <c r="F1249" s="10"/>
    </row>
    <row r="1250">
      <c r="B1250" s="10"/>
      <c r="C1250" s="26"/>
      <c r="D1250" s="26"/>
      <c r="E1250" s="10"/>
      <c r="F1250" s="10"/>
    </row>
    <row r="1251">
      <c r="B1251" s="10"/>
      <c r="C1251" s="26"/>
      <c r="D1251" s="26"/>
      <c r="E1251" s="10"/>
      <c r="F1251" s="10"/>
    </row>
    <row r="1252">
      <c r="B1252" s="10"/>
      <c r="C1252" s="26"/>
      <c r="D1252" s="26"/>
      <c r="E1252" s="10"/>
      <c r="F1252" s="10"/>
    </row>
    <row r="1253">
      <c r="B1253" s="10"/>
      <c r="C1253" s="26"/>
      <c r="D1253" s="26"/>
      <c r="E1253" s="10"/>
      <c r="F1253" s="10"/>
    </row>
    <row r="1254">
      <c r="B1254" s="10"/>
      <c r="C1254" s="26"/>
      <c r="D1254" s="26"/>
      <c r="E1254" s="10"/>
      <c r="F1254" s="10"/>
    </row>
    <row r="1255">
      <c r="B1255" s="10"/>
      <c r="C1255" s="26"/>
      <c r="D1255" s="26"/>
      <c r="E1255" s="10"/>
      <c r="F1255" s="10"/>
    </row>
    <row r="1256">
      <c r="B1256" s="10"/>
      <c r="C1256" s="26"/>
      <c r="D1256" s="26"/>
      <c r="E1256" s="10"/>
      <c r="F1256" s="10"/>
    </row>
    <row r="1257">
      <c r="B1257" s="10"/>
      <c r="C1257" s="26"/>
      <c r="D1257" s="26"/>
      <c r="E1257" s="10"/>
      <c r="F1257" s="10"/>
    </row>
    <row r="1258">
      <c r="B1258" s="10"/>
      <c r="C1258" s="26"/>
      <c r="D1258" s="26"/>
      <c r="E1258" s="10"/>
      <c r="F1258" s="10"/>
    </row>
    <row r="1259">
      <c r="B1259" s="10"/>
      <c r="C1259" s="26"/>
      <c r="D1259" s="26"/>
      <c r="E1259" s="10"/>
      <c r="F1259" s="10"/>
    </row>
    <row r="1260">
      <c r="B1260" s="10"/>
      <c r="C1260" s="26"/>
      <c r="D1260" s="26"/>
      <c r="E1260" s="10"/>
      <c r="F1260" s="10"/>
    </row>
    <row r="1261">
      <c r="B1261" s="10"/>
      <c r="C1261" s="26"/>
      <c r="D1261" s="26"/>
      <c r="E1261" s="10"/>
      <c r="F1261" s="10"/>
    </row>
    <row r="1262">
      <c r="B1262" s="10"/>
      <c r="C1262" s="26"/>
      <c r="D1262" s="26"/>
      <c r="E1262" s="10"/>
      <c r="F1262" s="10"/>
    </row>
    <row r="1263">
      <c r="B1263" s="10"/>
      <c r="C1263" s="26"/>
      <c r="D1263" s="26"/>
      <c r="E1263" s="10"/>
      <c r="F1263" s="10"/>
    </row>
    <row r="1264">
      <c r="B1264" s="10"/>
      <c r="C1264" s="26"/>
      <c r="D1264" s="26"/>
      <c r="E1264" s="10"/>
      <c r="F1264" s="10"/>
    </row>
    <row r="1265">
      <c r="B1265" s="10"/>
      <c r="C1265" s="26"/>
      <c r="D1265" s="26"/>
      <c r="E1265" s="10"/>
      <c r="F1265" s="10"/>
    </row>
    <row r="1266">
      <c r="B1266" s="10"/>
      <c r="C1266" s="26"/>
      <c r="D1266" s="26"/>
      <c r="E1266" s="10"/>
      <c r="F1266" s="10"/>
    </row>
    <row r="1267">
      <c r="B1267" s="10"/>
      <c r="C1267" s="26"/>
      <c r="D1267" s="26"/>
      <c r="E1267" s="10"/>
      <c r="F1267" s="10"/>
    </row>
    <row r="1268">
      <c r="B1268" s="10"/>
      <c r="C1268" s="26"/>
      <c r="D1268" s="26"/>
      <c r="E1268" s="10"/>
      <c r="F1268" s="10"/>
    </row>
    <row r="1269">
      <c r="B1269" s="10"/>
      <c r="C1269" s="26"/>
      <c r="D1269" s="26"/>
      <c r="E1269" s="10"/>
      <c r="F1269" s="10"/>
    </row>
    <row r="1270">
      <c r="B1270" s="10"/>
      <c r="C1270" s="26"/>
      <c r="D1270" s="26"/>
      <c r="E1270" s="10"/>
      <c r="F1270" s="10"/>
    </row>
    <row r="1271">
      <c r="B1271" s="10"/>
      <c r="C1271" s="26"/>
      <c r="D1271" s="26"/>
      <c r="E1271" s="10"/>
      <c r="F1271" s="10"/>
    </row>
    <row r="1272">
      <c r="B1272" s="10"/>
      <c r="C1272" s="26"/>
      <c r="D1272" s="26"/>
      <c r="E1272" s="10"/>
      <c r="F1272" s="10"/>
    </row>
    <row r="1273">
      <c r="B1273" s="10"/>
      <c r="C1273" s="26"/>
      <c r="D1273" s="26"/>
      <c r="E1273" s="10"/>
      <c r="F1273" s="10"/>
    </row>
    <row r="1274">
      <c r="B1274" s="10"/>
      <c r="C1274" s="26"/>
      <c r="D1274" s="26"/>
      <c r="E1274" s="10"/>
      <c r="F1274" s="10"/>
    </row>
    <row r="1275">
      <c r="B1275" s="10"/>
      <c r="C1275" s="26"/>
      <c r="D1275" s="26"/>
      <c r="E1275" s="10"/>
      <c r="F1275" s="10"/>
    </row>
    <row r="1276">
      <c r="B1276" s="10"/>
      <c r="C1276" s="26"/>
      <c r="D1276" s="26"/>
      <c r="E1276" s="10"/>
      <c r="F1276" s="10"/>
    </row>
    <row r="1277">
      <c r="B1277" s="10"/>
      <c r="C1277" s="26"/>
      <c r="D1277" s="26"/>
      <c r="E1277" s="10"/>
      <c r="F1277" s="10"/>
    </row>
    <row r="1278">
      <c r="B1278" s="10"/>
      <c r="C1278" s="26"/>
      <c r="D1278" s="26"/>
      <c r="E1278" s="10"/>
      <c r="F1278" s="10"/>
    </row>
    <row r="1279">
      <c r="B1279" s="10"/>
      <c r="C1279" s="26"/>
      <c r="D1279" s="26"/>
      <c r="E1279" s="10"/>
      <c r="F1279" s="10"/>
    </row>
    <row r="1280">
      <c r="B1280" s="10"/>
      <c r="C1280" s="26"/>
      <c r="D1280" s="26"/>
      <c r="E1280" s="10"/>
      <c r="F1280" s="10"/>
    </row>
    <row r="1281">
      <c r="B1281" s="10"/>
      <c r="C1281" s="26"/>
      <c r="D1281" s="26"/>
      <c r="E1281" s="10"/>
      <c r="F1281" s="10"/>
    </row>
    <row r="1282">
      <c r="B1282" s="10"/>
      <c r="C1282" s="26"/>
      <c r="D1282" s="26"/>
      <c r="E1282" s="10"/>
      <c r="F1282" s="10"/>
    </row>
    <row r="1283">
      <c r="B1283" s="10"/>
      <c r="C1283" s="26"/>
      <c r="D1283" s="26"/>
      <c r="E1283" s="10"/>
      <c r="F1283" s="10"/>
    </row>
    <row r="1284">
      <c r="B1284" s="10"/>
      <c r="C1284" s="26"/>
      <c r="D1284" s="26"/>
      <c r="E1284" s="10"/>
      <c r="F1284" s="10"/>
    </row>
    <row r="1285">
      <c r="B1285" s="10"/>
      <c r="C1285" s="26"/>
      <c r="D1285" s="26"/>
      <c r="E1285" s="10"/>
      <c r="F1285" s="10"/>
    </row>
    <row r="1286">
      <c r="B1286" s="10"/>
      <c r="C1286" s="26"/>
      <c r="D1286" s="26"/>
      <c r="E1286" s="10"/>
      <c r="F1286" s="10"/>
    </row>
    <row r="1287">
      <c r="B1287" s="10"/>
      <c r="C1287" s="26"/>
      <c r="D1287" s="26"/>
      <c r="E1287" s="10"/>
      <c r="F1287" s="10"/>
    </row>
    <row r="1288">
      <c r="B1288" s="10"/>
      <c r="C1288" s="26"/>
      <c r="D1288" s="26"/>
      <c r="E1288" s="10"/>
      <c r="F1288" s="10"/>
    </row>
    <row r="1289">
      <c r="B1289" s="10"/>
      <c r="C1289" s="26"/>
      <c r="D1289" s="26"/>
      <c r="E1289" s="10"/>
      <c r="F1289" s="10"/>
    </row>
    <row r="1290">
      <c r="B1290" s="10"/>
      <c r="C1290" s="26"/>
      <c r="D1290" s="26"/>
      <c r="E1290" s="10"/>
      <c r="F1290" s="10"/>
    </row>
    <row r="1291">
      <c r="B1291" s="10"/>
      <c r="C1291" s="26"/>
      <c r="D1291" s="26"/>
      <c r="E1291" s="10"/>
      <c r="F1291" s="10"/>
    </row>
    <row r="1292">
      <c r="B1292" s="10"/>
      <c r="C1292" s="26"/>
      <c r="D1292" s="26"/>
      <c r="E1292" s="10"/>
      <c r="F1292" s="10"/>
    </row>
    <row r="1293">
      <c r="B1293" s="10"/>
      <c r="C1293" s="26"/>
      <c r="D1293" s="26"/>
      <c r="E1293" s="10"/>
      <c r="F1293" s="10"/>
    </row>
    <row r="1294">
      <c r="B1294" s="10"/>
      <c r="C1294" s="26"/>
      <c r="D1294" s="26"/>
      <c r="E1294" s="10"/>
      <c r="F1294" s="10"/>
    </row>
    <row r="1295">
      <c r="B1295" s="10"/>
      <c r="C1295" s="26"/>
      <c r="D1295" s="26"/>
      <c r="E1295" s="10"/>
      <c r="F1295" s="10"/>
    </row>
    <row r="1296">
      <c r="B1296" s="10"/>
      <c r="C1296" s="26"/>
      <c r="D1296" s="26"/>
      <c r="E1296" s="10"/>
      <c r="F1296" s="10"/>
    </row>
    <row r="1297">
      <c r="B1297" s="10"/>
      <c r="C1297" s="26"/>
      <c r="D1297" s="26"/>
      <c r="E1297" s="10"/>
      <c r="F1297" s="10"/>
    </row>
    <row r="1298">
      <c r="B1298" s="10"/>
      <c r="C1298" s="26"/>
      <c r="D1298" s="26"/>
      <c r="E1298" s="10"/>
      <c r="F1298" s="10"/>
    </row>
    <row r="1299">
      <c r="B1299" s="10"/>
      <c r="C1299" s="26"/>
      <c r="D1299" s="26"/>
      <c r="E1299" s="10"/>
      <c r="F1299" s="10"/>
    </row>
    <row r="1300">
      <c r="B1300" s="10"/>
      <c r="C1300" s="26"/>
      <c r="D1300" s="26"/>
      <c r="E1300" s="10"/>
      <c r="F1300" s="10"/>
    </row>
    <row r="1301">
      <c r="B1301" s="10"/>
      <c r="C1301" s="26"/>
      <c r="D1301" s="26"/>
      <c r="E1301" s="10"/>
      <c r="F1301" s="10"/>
    </row>
    <row r="1302">
      <c r="B1302" s="10"/>
      <c r="C1302" s="26"/>
      <c r="D1302" s="26"/>
      <c r="E1302" s="10"/>
      <c r="F1302" s="10"/>
    </row>
    <row r="1303">
      <c r="B1303" s="10"/>
      <c r="C1303" s="26"/>
      <c r="D1303" s="26"/>
      <c r="E1303" s="10"/>
      <c r="F1303" s="10"/>
    </row>
    <row r="1304">
      <c r="B1304" s="10"/>
      <c r="C1304" s="26"/>
      <c r="D1304" s="26"/>
      <c r="E1304" s="10"/>
      <c r="F1304" s="10"/>
    </row>
    <row r="1305">
      <c r="B1305" s="10"/>
      <c r="C1305" s="26"/>
      <c r="D1305" s="26"/>
      <c r="E1305" s="10"/>
      <c r="F1305" s="10"/>
    </row>
    <row r="1306">
      <c r="B1306" s="10"/>
      <c r="C1306" s="26"/>
      <c r="D1306" s="26"/>
      <c r="E1306" s="10"/>
      <c r="F1306" s="10"/>
    </row>
    <row r="1307">
      <c r="B1307" s="10"/>
      <c r="C1307" s="26"/>
      <c r="D1307" s="26"/>
      <c r="E1307" s="10"/>
      <c r="F1307" s="10"/>
    </row>
    <row r="1308">
      <c r="B1308" s="10"/>
      <c r="C1308" s="26"/>
      <c r="D1308" s="26"/>
      <c r="E1308" s="10"/>
      <c r="F1308" s="10"/>
    </row>
    <row r="1309">
      <c r="B1309" s="10"/>
      <c r="C1309" s="26"/>
      <c r="D1309" s="26"/>
      <c r="E1309" s="10"/>
      <c r="F1309" s="10"/>
    </row>
    <row r="1310">
      <c r="B1310" s="10"/>
      <c r="C1310" s="26"/>
      <c r="D1310" s="26"/>
      <c r="E1310" s="10"/>
      <c r="F1310" s="10"/>
    </row>
    <row r="1311">
      <c r="B1311" s="10"/>
      <c r="C1311" s="26"/>
      <c r="D1311" s="26"/>
      <c r="E1311" s="10"/>
      <c r="F1311" s="10"/>
    </row>
    <row r="1312">
      <c r="B1312" s="10"/>
      <c r="C1312" s="26"/>
      <c r="D1312" s="26"/>
      <c r="E1312" s="10"/>
      <c r="F1312" s="10"/>
    </row>
    <row r="1313">
      <c r="B1313" s="10"/>
      <c r="C1313" s="26"/>
      <c r="D1313" s="26"/>
      <c r="E1313" s="10"/>
      <c r="F1313" s="10"/>
    </row>
    <row r="1314">
      <c r="B1314" s="10"/>
      <c r="C1314" s="26"/>
      <c r="D1314" s="26"/>
      <c r="E1314" s="10"/>
      <c r="F1314" s="10"/>
    </row>
    <row r="1315">
      <c r="B1315" s="10"/>
      <c r="C1315" s="26"/>
      <c r="D1315" s="26"/>
      <c r="E1315" s="10"/>
      <c r="F1315" s="10"/>
    </row>
    <row r="1316">
      <c r="B1316" s="10"/>
      <c r="C1316" s="26"/>
      <c r="D1316" s="26"/>
      <c r="E1316" s="10"/>
      <c r="F1316" s="10"/>
    </row>
    <row r="1317">
      <c r="B1317" s="10"/>
      <c r="C1317" s="26"/>
      <c r="D1317" s="26"/>
      <c r="E1317" s="10"/>
      <c r="F1317" s="10"/>
    </row>
    <row r="1318">
      <c r="B1318" s="10"/>
      <c r="C1318" s="26"/>
      <c r="D1318" s="26"/>
      <c r="E1318" s="10"/>
      <c r="F1318" s="10"/>
    </row>
    <row r="1319">
      <c r="B1319" s="10"/>
      <c r="C1319" s="26"/>
      <c r="D1319" s="26"/>
      <c r="E1319" s="10"/>
      <c r="F1319" s="10"/>
    </row>
    <row r="1320">
      <c r="B1320" s="10"/>
      <c r="C1320" s="26"/>
      <c r="D1320" s="26"/>
      <c r="E1320" s="10"/>
      <c r="F1320" s="10"/>
    </row>
    <row r="1321">
      <c r="B1321" s="10"/>
      <c r="C1321" s="26"/>
      <c r="D1321" s="26"/>
      <c r="E1321" s="10"/>
      <c r="F1321" s="10"/>
    </row>
    <row r="1322">
      <c r="B1322" s="10"/>
      <c r="C1322" s="26"/>
      <c r="D1322" s="26"/>
      <c r="E1322" s="10"/>
      <c r="F1322" s="10"/>
    </row>
    <row r="1323">
      <c r="B1323" s="10"/>
      <c r="C1323" s="26"/>
      <c r="D1323" s="26"/>
      <c r="E1323" s="10"/>
      <c r="F1323" s="10"/>
    </row>
    <row r="1324">
      <c r="B1324" s="10"/>
      <c r="C1324" s="26"/>
      <c r="D1324" s="26"/>
      <c r="E1324" s="10"/>
      <c r="F1324" s="10"/>
    </row>
    <row r="1325">
      <c r="B1325" s="10"/>
      <c r="C1325" s="26"/>
      <c r="D1325" s="26"/>
      <c r="E1325" s="10"/>
      <c r="F1325" s="10"/>
    </row>
    <row r="1326">
      <c r="B1326" s="10"/>
      <c r="C1326" s="26"/>
      <c r="D1326" s="26"/>
      <c r="E1326" s="10"/>
      <c r="F1326" s="10"/>
    </row>
    <row r="1327">
      <c r="B1327" s="10"/>
      <c r="C1327" s="26"/>
      <c r="D1327" s="26"/>
      <c r="E1327" s="10"/>
      <c r="F1327" s="10"/>
    </row>
    <row r="1328">
      <c r="B1328" s="10"/>
      <c r="C1328" s="26"/>
      <c r="D1328" s="26"/>
      <c r="E1328" s="10"/>
      <c r="F1328" s="10"/>
    </row>
    <row r="1329">
      <c r="B1329" s="10"/>
      <c r="C1329" s="26"/>
      <c r="D1329" s="26"/>
      <c r="E1329" s="10"/>
      <c r="F1329" s="10"/>
    </row>
    <row r="1330">
      <c r="B1330" s="10"/>
      <c r="C1330" s="26"/>
      <c r="D1330" s="26"/>
      <c r="E1330" s="10"/>
      <c r="F1330" s="10"/>
    </row>
    <row r="1331">
      <c r="B1331" s="10"/>
      <c r="C1331" s="26"/>
      <c r="D1331" s="26"/>
      <c r="E1331" s="10"/>
      <c r="F1331" s="10"/>
    </row>
    <row r="1332">
      <c r="B1332" s="10"/>
      <c r="C1332" s="26"/>
      <c r="D1332" s="26"/>
      <c r="E1332" s="10"/>
      <c r="F1332" s="10"/>
    </row>
    <row r="1333">
      <c r="B1333" s="10"/>
      <c r="C1333" s="26"/>
      <c r="D1333" s="26"/>
      <c r="E1333" s="10"/>
      <c r="F1333" s="10"/>
    </row>
    <row r="1334">
      <c r="B1334" s="10"/>
      <c r="C1334" s="26"/>
      <c r="D1334" s="26"/>
      <c r="E1334" s="10"/>
      <c r="F1334" s="10"/>
    </row>
    <row r="1335">
      <c r="B1335" s="10"/>
      <c r="C1335" s="26"/>
      <c r="D1335" s="26"/>
      <c r="E1335" s="10"/>
      <c r="F1335" s="10"/>
    </row>
    <row r="1336">
      <c r="B1336" s="10"/>
      <c r="C1336" s="26"/>
      <c r="D1336" s="26"/>
      <c r="E1336" s="10"/>
      <c r="F1336" s="10"/>
    </row>
    <row r="1337">
      <c r="B1337" s="10"/>
      <c r="C1337" s="26"/>
      <c r="D1337" s="26"/>
      <c r="E1337" s="10"/>
      <c r="F1337" s="10"/>
    </row>
    <row r="1338">
      <c r="B1338" s="10"/>
      <c r="C1338" s="26"/>
      <c r="D1338" s="26"/>
      <c r="E1338" s="10"/>
      <c r="F1338" s="10"/>
    </row>
    <row r="1339">
      <c r="B1339" s="10"/>
      <c r="C1339" s="26"/>
      <c r="D1339" s="26"/>
      <c r="E1339" s="10"/>
      <c r="F1339" s="10"/>
    </row>
    <row r="1340">
      <c r="B1340" s="10"/>
      <c r="C1340" s="26"/>
      <c r="D1340" s="26"/>
      <c r="E1340" s="10"/>
      <c r="F1340" s="10"/>
    </row>
    <row r="1341">
      <c r="B1341" s="10"/>
      <c r="C1341" s="26"/>
      <c r="D1341" s="26"/>
      <c r="E1341" s="10"/>
      <c r="F1341" s="10"/>
    </row>
    <row r="1342">
      <c r="B1342" s="10"/>
      <c r="C1342" s="26"/>
      <c r="D1342" s="26"/>
      <c r="E1342" s="10"/>
      <c r="F1342" s="10"/>
    </row>
    <row r="1343">
      <c r="B1343" s="10"/>
      <c r="C1343" s="26"/>
      <c r="D1343" s="26"/>
      <c r="E1343" s="10"/>
      <c r="F1343" s="10"/>
    </row>
    <row r="1344">
      <c r="B1344" s="10"/>
      <c r="C1344" s="26"/>
      <c r="D1344" s="26"/>
      <c r="E1344" s="10"/>
      <c r="F1344" s="10"/>
    </row>
    <row r="1345">
      <c r="B1345" s="10"/>
      <c r="C1345" s="26"/>
      <c r="D1345" s="26"/>
      <c r="E1345" s="10"/>
      <c r="F1345" s="10"/>
    </row>
    <row r="1346">
      <c r="B1346" s="10"/>
      <c r="C1346" s="26"/>
      <c r="D1346" s="26"/>
      <c r="E1346" s="10"/>
      <c r="F1346" s="10"/>
    </row>
    <row r="1347">
      <c r="B1347" s="10"/>
      <c r="C1347" s="26"/>
      <c r="D1347" s="26"/>
      <c r="E1347" s="10"/>
      <c r="F1347" s="10"/>
    </row>
    <row r="1348">
      <c r="B1348" s="10"/>
      <c r="C1348" s="26"/>
      <c r="D1348" s="26"/>
      <c r="E1348" s="10"/>
      <c r="F1348" s="10"/>
    </row>
    <row r="1349">
      <c r="B1349" s="10"/>
      <c r="C1349" s="26"/>
      <c r="D1349" s="26"/>
      <c r="E1349" s="10"/>
      <c r="F1349" s="10"/>
    </row>
    <row r="1350">
      <c r="B1350" s="10"/>
      <c r="C1350" s="26"/>
      <c r="D1350" s="26"/>
      <c r="E1350" s="10"/>
      <c r="F1350" s="10"/>
    </row>
    <row r="1351">
      <c r="B1351" s="10"/>
      <c r="C1351" s="26"/>
      <c r="D1351" s="26"/>
      <c r="E1351" s="10"/>
      <c r="F1351" s="10"/>
    </row>
    <row r="1352">
      <c r="B1352" s="10"/>
      <c r="C1352" s="26"/>
      <c r="D1352" s="26"/>
      <c r="E1352" s="10"/>
      <c r="F1352" s="10"/>
    </row>
    <row r="1353">
      <c r="B1353" s="10"/>
      <c r="C1353" s="26"/>
      <c r="D1353" s="26"/>
      <c r="E1353" s="10"/>
      <c r="F1353" s="10"/>
    </row>
    <row r="1354">
      <c r="B1354" s="10"/>
      <c r="C1354" s="26"/>
      <c r="D1354" s="26"/>
      <c r="E1354" s="10"/>
      <c r="F1354" s="10"/>
    </row>
    <row r="1355">
      <c r="B1355" s="10"/>
      <c r="C1355" s="26"/>
      <c r="D1355" s="26"/>
      <c r="E1355" s="10"/>
      <c r="F1355" s="10"/>
    </row>
    <row r="1356">
      <c r="B1356" s="10"/>
      <c r="C1356" s="26"/>
      <c r="D1356" s="26"/>
      <c r="E1356" s="10"/>
      <c r="F1356" s="10"/>
    </row>
    <row r="1357">
      <c r="B1357" s="10"/>
      <c r="C1357" s="26"/>
      <c r="D1357" s="26"/>
      <c r="E1357" s="10"/>
      <c r="F1357" s="10"/>
    </row>
    <row r="1358">
      <c r="B1358" s="10"/>
      <c r="C1358" s="26"/>
      <c r="D1358" s="26"/>
      <c r="E1358" s="10"/>
      <c r="F1358" s="10"/>
    </row>
    <row r="1359">
      <c r="B1359" s="10"/>
      <c r="C1359" s="26"/>
      <c r="D1359" s="26"/>
      <c r="E1359" s="10"/>
      <c r="F1359" s="10"/>
    </row>
    <row r="1360">
      <c r="B1360" s="10"/>
      <c r="C1360" s="26"/>
      <c r="D1360" s="26"/>
      <c r="E1360" s="10"/>
      <c r="F1360" s="10"/>
    </row>
    <row r="1361">
      <c r="B1361" s="10"/>
      <c r="C1361" s="26"/>
      <c r="D1361" s="26"/>
      <c r="E1361" s="10"/>
      <c r="F1361" s="10"/>
    </row>
    <row r="1362">
      <c r="B1362" s="10"/>
      <c r="C1362" s="26"/>
      <c r="D1362" s="26"/>
      <c r="E1362" s="10"/>
      <c r="F1362" s="10"/>
    </row>
    <row r="1363">
      <c r="B1363" s="10"/>
      <c r="C1363" s="26"/>
      <c r="D1363" s="26"/>
      <c r="E1363" s="10"/>
      <c r="F1363" s="10"/>
    </row>
    <row r="1364">
      <c r="B1364" s="10"/>
      <c r="C1364" s="26"/>
      <c r="D1364" s="26"/>
      <c r="E1364" s="10"/>
      <c r="F1364" s="10"/>
    </row>
    <row r="1365">
      <c r="B1365" s="10"/>
      <c r="C1365" s="26"/>
      <c r="D1365" s="26"/>
      <c r="E1365" s="10"/>
      <c r="F1365" s="10"/>
    </row>
    <row r="1366">
      <c r="B1366" s="10"/>
      <c r="C1366" s="26"/>
      <c r="D1366" s="26"/>
      <c r="E1366" s="10"/>
      <c r="F1366" s="10"/>
    </row>
    <row r="1367">
      <c r="B1367" s="10"/>
      <c r="C1367" s="26"/>
      <c r="D1367" s="26"/>
      <c r="E1367" s="10"/>
      <c r="F1367" s="10"/>
    </row>
    <row r="1368">
      <c r="B1368" s="10"/>
      <c r="C1368" s="26"/>
      <c r="D1368" s="26"/>
      <c r="E1368" s="10"/>
      <c r="F1368" s="10"/>
    </row>
    <row r="1369">
      <c r="B1369" s="10"/>
      <c r="C1369" s="26"/>
      <c r="D1369" s="26"/>
      <c r="E1369" s="10"/>
      <c r="F1369" s="10"/>
    </row>
    <row r="1370">
      <c r="B1370" s="10"/>
      <c r="C1370" s="26"/>
      <c r="D1370" s="26"/>
      <c r="E1370" s="10"/>
      <c r="F1370" s="10"/>
    </row>
    <row r="1371">
      <c r="B1371" s="10"/>
      <c r="C1371" s="26"/>
      <c r="D1371" s="26"/>
      <c r="E1371" s="10"/>
      <c r="F1371" s="10"/>
    </row>
    <row r="1372">
      <c r="B1372" s="10"/>
      <c r="C1372" s="26"/>
      <c r="D1372" s="26"/>
      <c r="E1372" s="10"/>
      <c r="F1372" s="10"/>
    </row>
    <row r="1373">
      <c r="B1373" s="10"/>
      <c r="C1373" s="26"/>
      <c r="D1373" s="26"/>
      <c r="E1373" s="10"/>
      <c r="F1373" s="10"/>
    </row>
    <row r="1374">
      <c r="B1374" s="10"/>
      <c r="C1374" s="26"/>
      <c r="D1374" s="26"/>
      <c r="E1374" s="10"/>
      <c r="F1374" s="10"/>
    </row>
    <row r="1375">
      <c r="B1375" s="10"/>
      <c r="C1375" s="26"/>
      <c r="D1375" s="26"/>
      <c r="E1375" s="10"/>
      <c r="F1375" s="10"/>
    </row>
    <row r="1376">
      <c r="B1376" s="10"/>
      <c r="C1376" s="26"/>
      <c r="D1376" s="26"/>
      <c r="E1376" s="10"/>
      <c r="F1376" s="10"/>
    </row>
    <row r="1377">
      <c r="B1377" s="10"/>
      <c r="C1377" s="26"/>
      <c r="D1377" s="26"/>
      <c r="E1377" s="10"/>
      <c r="F1377" s="10"/>
    </row>
    <row r="1378">
      <c r="B1378" s="10"/>
      <c r="C1378" s="26"/>
      <c r="D1378" s="26"/>
      <c r="E1378" s="10"/>
      <c r="F1378" s="10"/>
    </row>
    <row r="1379">
      <c r="B1379" s="10"/>
      <c r="C1379" s="26"/>
      <c r="D1379" s="26"/>
      <c r="E1379" s="10"/>
      <c r="F1379" s="10"/>
    </row>
    <row r="1380">
      <c r="B1380" s="10"/>
      <c r="C1380" s="26"/>
      <c r="D1380" s="26"/>
      <c r="E1380" s="10"/>
      <c r="F1380" s="10"/>
    </row>
    <row r="1381">
      <c r="B1381" s="10"/>
      <c r="C1381" s="26"/>
      <c r="D1381" s="26"/>
      <c r="E1381" s="10"/>
      <c r="F1381" s="10"/>
    </row>
    <row r="1382">
      <c r="B1382" s="10"/>
      <c r="C1382" s="26"/>
      <c r="D1382" s="26"/>
      <c r="E1382" s="10"/>
      <c r="F1382" s="10"/>
    </row>
    <row r="1383">
      <c r="B1383" s="10"/>
      <c r="C1383" s="26"/>
      <c r="D1383" s="26"/>
      <c r="E1383" s="10"/>
      <c r="F1383" s="10"/>
    </row>
    <row r="1384">
      <c r="B1384" s="10"/>
      <c r="C1384" s="26"/>
      <c r="D1384" s="26"/>
      <c r="E1384" s="10"/>
      <c r="F1384" s="10"/>
    </row>
    <row r="1385">
      <c r="B1385" s="10"/>
      <c r="C1385" s="26"/>
      <c r="D1385" s="26"/>
      <c r="E1385" s="10"/>
      <c r="F1385" s="10"/>
    </row>
    <row r="1386">
      <c r="B1386" s="10"/>
      <c r="C1386" s="26"/>
      <c r="D1386" s="26"/>
      <c r="E1386" s="10"/>
      <c r="F1386" s="10"/>
    </row>
    <row r="1387">
      <c r="B1387" s="10"/>
      <c r="C1387" s="26"/>
      <c r="D1387" s="26"/>
      <c r="E1387" s="10"/>
      <c r="F1387" s="10"/>
    </row>
    <row r="1388">
      <c r="B1388" s="10"/>
      <c r="C1388" s="26"/>
      <c r="D1388" s="26"/>
      <c r="E1388" s="10"/>
      <c r="F1388" s="10"/>
    </row>
    <row r="1389">
      <c r="B1389" s="10"/>
      <c r="C1389" s="26"/>
      <c r="D1389" s="26"/>
      <c r="E1389" s="10"/>
      <c r="F1389" s="10"/>
    </row>
    <row r="1390">
      <c r="B1390" s="10"/>
      <c r="C1390" s="26"/>
      <c r="D1390" s="26"/>
      <c r="E1390" s="10"/>
      <c r="F1390" s="10"/>
    </row>
    <row r="1391">
      <c r="B1391" s="10"/>
      <c r="C1391" s="26"/>
      <c r="D1391" s="26"/>
      <c r="E1391" s="10"/>
      <c r="F1391" s="10"/>
    </row>
    <row r="1392">
      <c r="B1392" s="10"/>
      <c r="C1392" s="26"/>
      <c r="D1392" s="26"/>
      <c r="E1392" s="10"/>
      <c r="F1392" s="10"/>
    </row>
    <row r="1393">
      <c r="B1393" s="10"/>
      <c r="C1393" s="26"/>
      <c r="D1393" s="26"/>
      <c r="E1393" s="10"/>
      <c r="F1393" s="10"/>
    </row>
    <row r="1394">
      <c r="B1394" s="10"/>
      <c r="C1394" s="26"/>
      <c r="D1394" s="26"/>
      <c r="E1394" s="10"/>
      <c r="F1394" s="10"/>
    </row>
    <row r="1395">
      <c r="B1395" s="10"/>
      <c r="C1395" s="26"/>
      <c r="D1395" s="26"/>
      <c r="E1395" s="10"/>
      <c r="F1395" s="10"/>
    </row>
    <row r="1396">
      <c r="B1396" s="10"/>
      <c r="C1396" s="26"/>
      <c r="D1396" s="26"/>
      <c r="E1396" s="10"/>
      <c r="F1396" s="10"/>
    </row>
    <row r="1397">
      <c r="B1397" s="10"/>
      <c r="C1397" s="26"/>
      <c r="D1397" s="26"/>
      <c r="E1397" s="10"/>
      <c r="F1397" s="10"/>
    </row>
    <row r="1398">
      <c r="B1398" s="10"/>
      <c r="C1398" s="26"/>
      <c r="D1398" s="26"/>
      <c r="E1398" s="10"/>
      <c r="F1398" s="10"/>
    </row>
    <row r="1399">
      <c r="B1399" s="10"/>
      <c r="C1399" s="26"/>
      <c r="D1399" s="26"/>
      <c r="E1399" s="10"/>
      <c r="F1399" s="10"/>
    </row>
    <row r="1400">
      <c r="B1400" s="10"/>
      <c r="C1400" s="26"/>
      <c r="D1400" s="26"/>
      <c r="E1400" s="10"/>
      <c r="F1400" s="10"/>
    </row>
    <row r="1401">
      <c r="B1401" s="10"/>
      <c r="C1401" s="26"/>
      <c r="D1401" s="26"/>
      <c r="E1401" s="10"/>
      <c r="F1401" s="10"/>
    </row>
    <row r="1402">
      <c r="B1402" s="10"/>
      <c r="C1402" s="26"/>
      <c r="D1402" s="26"/>
      <c r="E1402" s="10"/>
      <c r="F1402" s="10"/>
    </row>
    <row r="1403">
      <c r="B1403" s="10"/>
      <c r="C1403" s="26"/>
      <c r="D1403" s="26"/>
      <c r="E1403" s="10"/>
      <c r="F1403" s="10"/>
    </row>
    <row r="1404">
      <c r="B1404" s="10"/>
      <c r="C1404" s="26"/>
      <c r="D1404" s="26"/>
      <c r="E1404" s="10"/>
      <c r="F1404" s="10"/>
    </row>
    <row r="1405">
      <c r="B1405" s="10"/>
      <c r="C1405" s="26"/>
      <c r="D1405" s="26"/>
      <c r="E1405" s="10"/>
      <c r="F1405" s="10"/>
    </row>
    <row r="1406">
      <c r="B1406" s="10"/>
      <c r="C1406" s="26"/>
      <c r="D1406" s="26"/>
      <c r="E1406" s="10"/>
      <c r="F1406" s="10"/>
    </row>
    <row r="1407">
      <c r="B1407" s="10"/>
      <c r="C1407" s="26"/>
      <c r="D1407" s="26"/>
      <c r="E1407" s="10"/>
      <c r="F1407" s="10"/>
    </row>
    <row r="1408">
      <c r="B1408" s="10"/>
      <c r="C1408" s="26"/>
      <c r="D1408" s="26"/>
      <c r="E1408" s="10"/>
      <c r="F1408" s="10"/>
    </row>
    <row r="1409">
      <c r="B1409" s="10"/>
      <c r="C1409" s="26"/>
      <c r="D1409" s="26"/>
      <c r="E1409" s="10"/>
      <c r="F1409" s="10"/>
    </row>
    <row r="1410">
      <c r="B1410" s="10"/>
      <c r="C1410" s="26"/>
      <c r="D1410" s="26"/>
      <c r="E1410" s="10"/>
      <c r="F1410" s="10"/>
    </row>
    <row r="1411">
      <c r="B1411" s="10"/>
      <c r="C1411" s="26"/>
      <c r="D1411" s="26"/>
      <c r="E1411" s="10"/>
      <c r="F1411" s="10"/>
    </row>
    <row r="1412">
      <c r="B1412" s="10"/>
      <c r="C1412" s="26"/>
      <c r="D1412" s="26"/>
      <c r="E1412" s="10"/>
      <c r="F1412" s="10"/>
    </row>
    <row r="1413">
      <c r="B1413" s="10"/>
      <c r="C1413" s="26"/>
      <c r="D1413" s="26"/>
      <c r="E1413" s="10"/>
      <c r="F1413" s="10"/>
    </row>
    <row r="1414">
      <c r="B1414" s="10"/>
      <c r="C1414" s="26"/>
      <c r="D1414" s="26"/>
      <c r="E1414" s="10"/>
      <c r="F1414" s="10"/>
    </row>
    <row r="1415">
      <c r="B1415" s="10"/>
      <c r="C1415" s="26"/>
      <c r="D1415" s="26"/>
      <c r="E1415" s="10"/>
      <c r="F1415" s="10"/>
    </row>
    <row r="1416">
      <c r="B1416" s="10"/>
      <c r="C1416" s="26"/>
      <c r="D1416" s="26"/>
      <c r="E1416" s="10"/>
      <c r="F1416" s="10"/>
    </row>
    <row r="1417">
      <c r="B1417" s="10"/>
      <c r="C1417" s="26"/>
      <c r="D1417" s="26"/>
      <c r="E1417" s="10"/>
      <c r="F1417" s="10"/>
    </row>
    <row r="1418">
      <c r="B1418" s="10"/>
      <c r="C1418" s="26"/>
      <c r="D1418" s="26"/>
      <c r="E1418" s="10"/>
      <c r="F1418" s="10"/>
    </row>
    <row r="1419">
      <c r="B1419" s="10"/>
      <c r="C1419" s="26"/>
      <c r="D1419" s="26"/>
      <c r="E1419" s="10"/>
      <c r="F1419" s="10"/>
    </row>
    <row r="1420">
      <c r="B1420" s="10"/>
      <c r="C1420" s="26"/>
      <c r="D1420" s="26"/>
      <c r="E1420" s="10"/>
      <c r="F1420" s="10"/>
    </row>
    <row r="1421">
      <c r="B1421" s="10"/>
      <c r="C1421" s="26"/>
      <c r="D1421" s="26"/>
      <c r="E1421" s="10"/>
      <c r="F1421" s="10"/>
    </row>
    <row r="1422">
      <c r="B1422" s="10"/>
      <c r="C1422" s="26"/>
      <c r="D1422" s="26"/>
      <c r="E1422" s="10"/>
      <c r="F1422" s="10"/>
    </row>
    <row r="1423">
      <c r="B1423" s="10"/>
      <c r="C1423" s="26"/>
      <c r="D1423" s="26"/>
      <c r="E1423" s="10"/>
      <c r="F1423" s="10"/>
    </row>
    <row r="1424">
      <c r="B1424" s="10"/>
      <c r="C1424" s="26"/>
      <c r="D1424" s="26"/>
      <c r="E1424" s="10"/>
      <c r="F1424" s="10"/>
    </row>
    <row r="1425">
      <c r="B1425" s="10"/>
      <c r="C1425" s="26"/>
      <c r="D1425" s="26"/>
      <c r="E1425" s="10"/>
      <c r="F1425" s="10"/>
    </row>
    <row r="1426">
      <c r="B1426" s="10"/>
      <c r="C1426" s="26"/>
      <c r="D1426" s="26"/>
      <c r="E1426" s="10"/>
      <c r="F1426" s="10"/>
    </row>
    <row r="1427">
      <c r="B1427" s="10"/>
      <c r="C1427" s="26"/>
      <c r="D1427" s="26"/>
      <c r="E1427" s="10"/>
      <c r="F1427" s="10"/>
    </row>
    <row r="1428">
      <c r="B1428" s="10"/>
      <c r="C1428" s="26"/>
      <c r="D1428" s="26"/>
      <c r="E1428" s="10"/>
      <c r="F1428" s="10"/>
    </row>
    <row r="1429">
      <c r="B1429" s="10"/>
      <c r="C1429" s="26"/>
      <c r="D1429" s="26"/>
      <c r="E1429" s="10"/>
      <c r="F1429" s="10"/>
    </row>
    <row r="1430">
      <c r="B1430" s="10"/>
      <c r="C1430" s="26"/>
      <c r="D1430" s="26"/>
      <c r="E1430" s="10"/>
      <c r="F1430" s="10"/>
    </row>
    <row r="1431">
      <c r="B1431" s="10"/>
      <c r="C1431" s="26"/>
      <c r="D1431" s="26"/>
      <c r="E1431" s="10"/>
      <c r="F1431" s="10"/>
    </row>
    <row r="1432">
      <c r="B1432" s="10"/>
      <c r="C1432" s="26"/>
      <c r="D1432" s="26"/>
      <c r="E1432" s="10"/>
      <c r="F1432" s="10"/>
    </row>
    <row r="1433">
      <c r="B1433" s="10"/>
      <c r="C1433" s="26"/>
      <c r="D1433" s="26"/>
      <c r="E1433" s="10"/>
      <c r="F1433" s="10"/>
    </row>
    <row r="1434">
      <c r="B1434" s="10"/>
      <c r="C1434" s="26"/>
      <c r="D1434" s="26"/>
      <c r="E1434" s="10"/>
      <c r="F1434" s="10"/>
    </row>
    <row r="1435">
      <c r="B1435" s="10"/>
      <c r="C1435" s="26"/>
      <c r="D1435" s="26"/>
      <c r="E1435" s="10"/>
      <c r="F1435" s="10"/>
    </row>
    <row r="1436">
      <c r="B1436" s="10"/>
      <c r="C1436" s="26"/>
      <c r="D1436" s="26"/>
      <c r="E1436" s="10"/>
      <c r="F1436" s="10"/>
    </row>
    <row r="1437">
      <c r="B1437" s="10"/>
      <c r="C1437" s="26"/>
      <c r="D1437" s="26"/>
      <c r="E1437" s="10"/>
      <c r="F1437" s="10"/>
    </row>
    <row r="1438">
      <c r="B1438" s="10"/>
      <c r="C1438" s="26"/>
      <c r="D1438" s="26"/>
      <c r="E1438" s="10"/>
      <c r="F1438" s="10"/>
    </row>
    <row r="1439">
      <c r="B1439" s="10"/>
      <c r="C1439" s="26"/>
      <c r="D1439" s="26"/>
      <c r="E1439" s="10"/>
      <c r="F1439" s="10"/>
    </row>
    <row r="1440">
      <c r="B1440" s="10"/>
      <c r="C1440" s="26"/>
      <c r="D1440" s="26"/>
      <c r="E1440" s="10"/>
      <c r="F1440" s="10"/>
    </row>
    <row r="1441">
      <c r="B1441" s="10"/>
      <c r="C1441" s="26"/>
      <c r="D1441" s="26"/>
      <c r="E1441" s="10"/>
      <c r="F1441" s="10"/>
    </row>
    <row r="1442">
      <c r="B1442" s="10"/>
      <c r="C1442" s="26"/>
      <c r="D1442" s="26"/>
      <c r="E1442" s="10"/>
      <c r="F1442" s="10"/>
    </row>
    <row r="1443">
      <c r="B1443" s="10"/>
      <c r="C1443" s="26"/>
      <c r="D1443" s="26"/>
      <c r="E1443" s="10"/>
      <c r="F1443" s="10"/>
    </row>
    <row r="1444">
      <c r="B1444" s="10"/>
      <c r="C1444" s="26"/>
      <c r="D1444" s="26"/>
      <c r="E1444" s="10"/>
      <c r="F1444" s="10"/>
    </row>
    <row r="1445">
      <c r="B1445" s="10"/>
      <c r="C1445" s="26"/>
      <c r="D1445" s="26"/>
      <c r="E1445" s="10"/>
      <c r="F1445" s="10"/>
    </row>
    <row r="1446">
      <c r="B1446" s="10"/>
      <c r="C1446" s="26"/>
      <c r="D1446" s="26"/>
      <c r="E1446" s="10"/>
      <c r="F1446" s="10"/>
    </row>
    <row r="1447">
      <c r="B1447" s="10"/>
      <c r="C1447" s="26"/>
      <c r="D1447" s="26"/>
      <c r="E1447" s="10"/>
      <c r="F1447" s="10"/>
    </row>
    <row r="1448">
      <c r="B1448" s="10"/>
      <c r="C1448" s="26"/>
      <c r="D1448" s="26"/>
      <c r="E1448" s="10"/>
      <c r="F1448" s="10"/>
    </row>
    <row r="1449">
      <c r="B1449" s="10"/>
      <c r="C1449" s="26"/>
      <c r="D1449" s="26"/>
      <c r="E1449" s="10"/>
      <c r="F1449" s="10"/>
    </row>
    <row r="1450">
      <c r="B1450" s="10"/>
      <c r="C1450" s="26"/>
      <c r="D1450" s="26"/>
      <c r="E1450" s="10"/>
      <c r="F1450" s="10"/>
    </row>
    <row r="1451">
      <c r="B1451" s="10"/>
      <c r="C1451" s="26"/>
      <c r="D1451" s="26"/>
      <c r="E1451" s="10"/>
      <c r="F1451" s="10"/>
    </row>
    <row r="1452">
      <c r="B1452" s="10"/>
      <c r="C1452" s="26"/>
      <c r="D1452" s="26"/>
      <c r="E1452" s="10"/>
      <c r="F1452" s="10"/>
    </row>
    <row r="1453">
      <c r="B1453" s="10"/>
      <c r="C1453" s="26"/>
      <c r="D1453" s="26"/>
      <c r="E1453" s="10"/>
      <c r="F1453" s="10"/>
    </row>
    <row r="1454">
      <c r="B1454" s="10"/>
      <c r="C1454" s="26"/>
      <c r="D1454" s="26"/>
      <c r="E1454" s="10"/>
      <c r="F1454" s="10"/>
    </row>
    <row r="1455">
      <c r="B1455" s="10"/>
      <c r="C1455" s="26"/>
      <c r="D1455" s="26"/>
      <c r="E1455" s="10"/>
      <c r="F1455" s="10"/>
    </row>
    <row r="1456">
      <c r="B1456" s="10"/>
      <c r="C1456" s="26"/>
      <c r="D1456" s="26"/>
      <c r="E1456" s="10"/>
      <c r="F1456" s="10"/>
    </row>
    <row r="1457">
      <c r="B1457" s="10"/>
      <c r="C1457" s="26"/>
      <c r="D1457" s="26"/>
      <c r="E1457" s="10"/>
      <c r="F1457" s="10"/>
    </row>
    <row r="1458">
      <c r="B1458" s="10"/>
      <c r="C1458" s="26"/>
      <c r="D1458" s="26"/>
      <c r="E1458" s="10"/>
      <c r="F1458" s="10"/>
    </row>
    <row r="1459">
      <c r="B1459" s="10"/>
      <c r="C1459" s="26"/>
      <c r="D1459" s="26"/>
      <c r="E1459" s="10"/>
      <c r="F1459" s="10"/>
    </row>
    <row r="1460">
      <c r="B1460" s="10"/>
      <c r="C1460" s="26"/>
      <c r="D1460" s="26"/>
      <c r="E1460" s="10"/>
      <c r="F1460" s="10"/>
    </row>
    <row r="1461">
      <c r="B1461" s="10"/>
      <c r="C1461" s="26"/>
      <c r="D1461" s="26"/>
      <c r="E1461" s="10"/>
      <c r="F1461" s="10"/>
    </row>
    <row r="1462">
      <c r="B1462" s="10"/>
      <c r="C1462" s="26"/>
      <c r="D1462" s="26"/>
      <c r="E1462" s="10"/>
      <c r="F1462" s="10"/>
    </row>
    <row r="1463">
      <c r="B1463" s="10"/>
      <c r="C1463" s="26"/>
      <c r="D1463" s="26"/>
      <c r="E1463" s="10"/>
      <c r="F1463" s="10"/>
    </row>
    <row r="1464">
      <c r="B1464" s="10"/>
      <c r="C1464" s="26"/>
      <c r="D1464" s="26"/>
      <c r="E1464" s="10"/>
      <c r="F1464" s="10"/>
    </row>
    <row r="1465">
      <c r="B1465" s="10"/>
      <c r="C1465" s="26"/>
      <c r="D1465" s="26"/>
      <c r="E1465" s="10"/>
      <c r="F1465" s="10"/>
    </row>
    <row r="1466">
      <c r="B1466" s="10"/>
      <c r="C1466" s="26"/>
      <c r="D1466" s="26"/>
      <c r="E1466" s="10"/>
      <c r="F1466" s="10"/>
    </row>
    <row r="1467">
      <c r="B1467" s="10"/>
      <c r="C1467" s="26"/>
      <c r="D1467" s="26"/>
      <c r="E1467" s="10"/>
      <c r="F1467" s="10"/>
    </row>
    <row r="1468">
      <c r="B1468" s="10"/>
      <c r="C1468" s="26"/>
      <c r="D1468" s="26"/>
      <c r="E1468" s="10"/>
      <c r="F1468" s="10"/>
    </row>
    <row r="1469">
      <c r="B1469" s="10"/>
      <c r="C1469" s="26"/>
      <c r="D1469" s="26"/>
      <c r="E1469" s="10"/>
      <c r="F1469" s="10"/>
    </row>
    <row r="1470">
      <c r="B1470" s="10"/>
      <c r="C1470" s="26"/>
      <c r="D1470" s="26"/>
      <c r="E1470" s="10"/>
      <c r="F1470" s="10"/>
    </row>
    <row r="1471">
      <c r="B1471" s="10"/>
      <c r="C1471" s="26"/>
      <c r="D1471" s="26"/>
      <c r="E1471" s="10"/>
      <c r="F1471" s="10"/>
    </row>
    <row r="1472">
      <c r="B1472" s="10"/>
      <c r="C1472" s="26"/>
      <c r="D1472" s="26"/>
      <c r="E1472" s="10"/>
      <c r="F1472" s="10"/>
    </row>
    <row r="1473">
      <c r="B1473" s="10"/>
      <c r="C1473" s="26"/>
      <c r="D1473" s="26"/>
      <c r="E1473" s="10"/>
      <c r="F1473" s="10"/>
    </row>
    <row r="1474">
      <c r="B1474" s="10"/>
      <c r="C1474" s="26"/>
      <c r="D1474" s="26"/>
      <c r="E1474" s="10"/>
      <c r="F1474" s="10"/>
    </row>
    <row r="1475">
      <c r="B1475" s="10"/>
      <c r="C1475" s="26"/>
      <c r="D1475" s="26"/>
      <c r="E1475" s="10"/>
      <c r="F1475" s="10"/>
    </row>
    <row r="1476">
      <c r="B1476" s="10"/>
      <c r="C1476" s="26"/>
      <c r="D1476" s="26"/>
      <c r="E1476" s="10"/>
      <c r="F1476" s="10"/>
    </row>
    <row r="1477">
      <c r="B1477" s="10"/>
      <c r="C1477" s="26"/>
      <c r="D1477" s="26"/>
      <c r="E1477" s="10"/>
      <c r="F1477" s="10"/>
    </row>
    <row r="1478">
      <c r="B1478" s="10"/>
      <c r="C1478" s="26"/>
      <c r="D1478" s="26"/>
      <c r="E1478" s="10"/>
      <c r="F1478" s="10"/>
    </row>
    <row r="1479">
      <c r="B1479" s="10"/>
      <c r="C1479" s="26"/>
      <c r="D1479" s="26"/>
      <c r="E1479" s="10"/>
      <c r="F1479" s="10"/>
    </row>
    <row r="1480">
      <c r="B1480" s="10"/>
      <c r="C1480" s="26"/>
      <c r="D1480" s="26"/>
      <c r="E1480" s="10"/>
      <c r="F1480" s="10"/>
    </row>
    <row r="1481">
      <c r="B1481" s="10"/>
      <c r="C1481" s="26"/>
      <c r="D1481" s="26"/>
      <c r="E1481" s="10"/>
      <c r="F1481" s="10"/>
    </row>
    <row r="1482">
      <c r="B1482" s="10"/>
      <c r="C1482" s="26"/>
      <c r="D1482" s="26"/>
      <c r="E1482" s="10"/>
      <c r="F1482" s="10"/>
    </row>
    <row r="1483">
      <c r="B1483" s="10"/>
      <c r="C1483" s="26"/>
      <c r="D1483" s="26"/>
      <c r="E1483" s="10"/>
      <c r="F1483" s="10"/>
    </row>
    <row r="1484">
      <c r="B1484" s="10"/>
      <c r="C1484" s="26"/>
      <c r="D1484" s="26"/>
      <c r="E1484" s="10"/>
      <c r="F1484" s="10"/>
    </row>
    <row r="1485">
      <c r="B1485" s="10"/>
      <c r="C1485" s="26"/>
      <c r="D1485" s="26"/>
      <c r="E1485" s="10"/>
      <c r="F1485" s="10"/>
    </row>
    <row r="1486">
      <c r="B1486" s="10"/>
      <c r="C1486" s="26"/>
      <c r="D1486" s="26"/>
      <c r="E1486" s="10"/>
      <c r="F1486" s="10"/>
    </row>
    <row r="1487">
      <c r="B1487" s="10"/>
      <c r="C1487" s="26"/>
      <c r="D1487" s="26"/>
      <c r="E1487" s="10"/>
      <c r="F1487" s="10"/>
    </row>
    <row r="1488">
      <c r="B1488" s="10"/>
      <c r="C1488" s="26"/>
      <c r="D1488" s="26"/>
      <c r="E1488" s="10"/>
      <c r="F1488" s="10"/>
    </row>
    <row r="1489">
      <c r="B1489" s="10"/>
      <c r="C1489" s="26"/>
      <c r="D1489" s="26"/>
      <c r="E1489" s="10"/>
      <c r="F1489" s="10"/>
    </row>
    <row r="1490">
      <c r="B1490" s="10"/>
      <c r="C1490" s="26"/>
      <c r="D1490" s="26"/>
      <c r="E1490" s="10"/>
      <c r="F1490" s="10"/>
    </row>
    <row r="1491">
      <c r="B1491" s="10"/>
      <c r="C1491" s="26"/>
      <c r="D1491" s="26"/>
      <c r="E1491" s="10"/>
      <c r="F1491" s="10"/>
    </row>
    <row r="1492">
      <c r="B1492" s="10"/>
      <c r="C1492" s="26"/>
      <c r="D1492" s="26"/>
      <c r="E1492" s="10"/>
      <c r="F1492" s="10"/>
    </row>
    <row r="1493">
      <c r="B1493" s="10"/>
      <c r="C1493" s="26"/>
      <c r="D1493" s="26"/>
      <c r="E1493" s="10"/>
      <c r="F1493" s="10"/>
    </row>
    <row r="1494">
      <c r="B1494" s="10"/>
      <c r="C1494" s="26"/>
      <c r="D1494" s="26"/>
      <c r="E1494" s="10"/>
      <c r="F1494" s="10"/>
    </row>
    <row r="1495">
      <c r="B1495" s="10"/>
      <c r="C1495" s="26"/>
      <c r="D1495" s="26"/>
      <c r="E1495" s="10"/>
      <c r="F1495" s="10"/>
    </row>
    <row r="1496">
      <c r="B1496" s="10"/>
      <c r="C1496" s="26"/>
      <c r="D1496" s="26"/>
      <c r="E1496" s="10"/>
      <c r="F1496" s="10"/>
    </row>
    <row r="1497">
      <c r="B1497" s="10"/>
      <c r="C1497" s="26"/>
      <c r="D1497" s="26"/>
      <c r="E1497" s="10"/>
      <c r="F1497" s="10"/>
    </row>
    <row r="1498">
      <c r="B1498" s="10"/>
      <c r="C1498" s="26"/>
      <c r="D1498" s="26"/>
      <c r="E1498" s="10"/>
      <c r="F1498" s="10"/>
    </row>
    <row r="1499">
      <c r="B1499" s="10"/>
      <c r="C1499" s="26"/>
      <c r="D1499" s="26"/>
      <c r="E1499" s="10"/>
      <c r="F1499" s="10"/>
    </row>
    <row r="1500">
      <c r="B1500" s="10"/>
      <c r="C1500" s="26"/>
      <c r="D1500" s="26"/>
      <c r="E1500" s="10"/>
      <c r="F1500" s="10"/>
    </row>
    <row r="1501">
      <c r="B1501" s="10"/>
      <c r="C1501" s="26"/>
      <c r="D1501" s="26"/>
      <c r="E1501" s="10"/>
      <c r="F1501" s="10"/>
    </row>
    <row r="1502">
      <c r="B1502" s="10"/>
      <c r="C1502" s="26"/>
      <c r="D1502" s="26"/>
      <c r="E1502" s="10"/>
      <c r="F1502" s="10"/>
    </row>
    <row r="1503">
      <c r="B1503" s="10"/>
      <c r="C1503" s="26"/>
      <c r="D1503" s="26"/>
      <c r="E1503" s="10"/>
      <c r="F1503" s="10"/>
    </row>
    <row r="1504">
      <c r="B1504" s="10"/>
      <c r="C1504" s="26"/>
      <c r="D1504" s="26"/>
      <c r="E1504" s="10"/>
      <c r="F1504" s="10"/>
    </row>
    <row r="1505">
      <c r="B1505" s="10"/>
      <c r="C1505" s="26"/>
      <c r="D1505" s="26"/>
      <c r="E1505" s="10"/>
      <c r="F1505" s="10"/>
    </row>
    <row r="1506">
      <c r="B1506" s="10"/>
      <c r="C1506" s="26"/>
      <c r="D1506" s="26"/>
      <c r="E1506" s="10"/>
      <c r="F1506" s="10"/>
    </row>
    <row r="1507">
      <c r="B1507" s="10"/>
      <c r="C1507" s="26"/>
      <c r="D1507" s="26"/>
      <c r="E1507" s="10"/>
      <c r="F1507" s="10"/>
    </row>
    <row r="1508">
      <c r="B1508" s="10"/>
      <c r="C1508" s="26"/>
      <c r="D1508" s="26"/>
      <c r="E1508" s="10"/>
      <c r="F1508" s="10"/>
    </row>
    <row r="1509">
      <c r="B1509" s="10"/>
      <c r="C1509" s="26"/>
      <c r="D1509" s="26"/>
      <c r="E1509" s="10"/>
      <c r="F1509" s="10"/>
    </row>
    <row r="1510">
      <c r="B1510" s="10"/>
      <c r="C1510" s="26"/>
      <c r="D1510" s="26"/>
      <c r="E1510" s="10"/>
      <c r="F1510" s="10"/>
    </row>
    <row r="1511">
      <c r="B1511" s="10"/>
      <c r="C1511" s="26"/>
      <c r="D1511" s="26"/>
      <c r="E1511" s="10"/>
      <c r="F1511" s="10"/>
    </row>
    <row r="1512">
      <c r="B1512" s="10"/>
      <c r="C1512" s="26"/>
      <c r="D1512" s="26"/>
      <c r="E1512" s="10"/>
      <c r="F1512" s="10"/>
    </row>
    <row r="1513">
      <c r="B1513" s="10"/>
      <c r="C1513" s="26"/>
      <c r="D1513" s="26"/>
      <c r="E1513" s="10"/>
      <c r="F1513" s="10"/>
    </row>
    <row r="1514">
      <c r="B1514" s="10"/>
      <c r="C1514" s="26"/>
      <c r="D1514" s="26"/>
      <c r="E1514" s="10"/>
      <c r="F1514" s="10"/>
    </row>
    <row r="1515">
      <c r="B1515" s="10"/>
      <c r="C1515" s="26"/>
      <c r="D1515" s="26"/>
      <c r="E1515" s="10"/>
      <c r="F1515" s="10"/>
    </row>
    <row r="1516">
      <c r="B1516" s="10"/>
      <c r="C1516" s="26"/>
      <c r="D1516" s="26"/>
      <c r="E1516" s="10"/>
      <c r="F1516" s="10"/>
    </row>
    <row r="1517">
      <c r="B1517" s="10"/>
      <c r="C1517" s="26"/>
      <c r="D1517" s="26"/>
      <c r="E1517" s="10"/>
      <c r="F1517" s="10"/>
    </row>
    <row r="1518">
      <c r="B1518" s="10"/>
      <c r="C1518" s="26"/>
      <c r="D1518" s="26"/>
      <c r="E1518" s="10"/>
      <c r="F1518" s="10"/>
    </row>
    <row r="1519">
      <c r="B1519" s="10"/>
      <c r="C1519" s="26"/>
      <c r="D1519" s="26"/>
      <c r="E1519" s="10"/>
      <c r="F1519" s="10"/>
    </row>
    <row r="1520">
      <c r="B1520" s="10"/>
      <c r="C1520" s="26"/>
      <c r="D1520" s="26"/>
      <c r="E1520" s="10"/>
      <c r="F1520" s="10"/>
    </row>
    <row r="1521">
      <c r="B1521" s="10"/>
      <c r="C1521" s="26"/>
      <c r="D1521" s="26"/>
      <c r="E1521" s="10"/>
      <c r="F1521" s="10"/>
    </row>
    <row r="1522">
      <c r="B1522" s="10"/>
      <c r="C1522" s="26"/>
      <c r="D1522" s="26"/>
      <c r="E1522" s="10"/>
      <c r="F1522" s="10"/>
    </row>
    <row r="1523">
      <c r="B1523" s="10"/>
      <c r="C1523" s="26"/>
      <c r="D1523" s="26"/>
      <c r="E1523" s="10"/>
      <c r="F1523" s="10"/>
    </row>
    <row r="1524">
      <c r="B1524" s="10"/>
      <c r="C1524" s="26"/>
      <c r="D1524" s="26"/>
      <c r="E1524" s="10"/>
      <c r="F1524" s="10"/>
    </row>
    <row r="1525">
      <c r="B1525" s="10"/>
      <c r="C1525" s="26"/>
      <c r="D1525" s="26"/>
      <c r="E1525" s="10"/>
      <c r="F1525" s="10"/>
    </row>
    <row r="1526">
      <c r="B1526" s="10"/>
      <c r="C1526" s="26"/>
      <c r="D1526" s="26"/>
      <c r="E1526" s="10"/>
      <c r="F1526" s="10"/>
    </row>
    <row r="1527">
      <c r="B1527" s="10"/>
      <c r="C1527" s="26"/>
      <c r="D1527" s="26"/>
      <c r="E1527" s="10"/>
      <c r="F1527" s="10"/>
    </row>
    <row r="1528">
      <c r="B1528" s="10"/>
      <c r="C1528" s="26"/>
      <c r="D1528" s="26"/>
      <c r="E1528" s="10"/>
      <c r="F1528" s="10"/>
    </row>
    <row r="1529">
      <c r="B1529" s="10"/>
      <c r="C1529" s="26"/>
      <c r="D1529" s="26"/>
      <c r="E1529" s="10"/>
      <c r="F1529" s="10"/>
    </row>
    <row r="1530">
      <c r="B1530" s="10"/>
      <c r="C1530" s="26"/>
      <c r="D1530" s="26"/>
      <c r="E1530" s="10"/>
      <c r="F1530" s="10"/>
    </row>
    <row r="1531">
      <c r="B1531" s="10"/>
      <c r="C1531" s="26"/>
      <c r="D1531" s="26"/>
      <c r="E1531" s="10"/>
      <c r="F1531" s="10"/>
    </row>
    <row r="1532">
      <c r="B1532" s="10"/>
      <c r="C1532" s="26"/>
      <c r="D1532" s="26"/>
      <c r="E1532" s="10"/>
      <c r="F1532" s="10"/>
    </row>
    <row r="1533">
      <c r="B1533" s="10"/>
      <c r="C1533" s="26"/>
      <c r="D1533" s="26"/>
      <c r="E1533" s="10"/>
      <c r="F1533" s="10"/>
    </row>
    <row r="1534">
      <c r="B1534" s="10"/>
      <c r="C1534" s="26"/>
      <c r="D1534" s="26"/>
      <c r="E1534" s="10"/>
      <c r="F1534" s="10"/>
    </row>
    <row r="1535">
      <c r="B1535" s="10"/>
      <c r="C1535" s="26"/>
      <c r="D1535" s="26"/>
      <c r="E1535" s="10"/>
      <c r="F1535" s="10"/>
    </row>
    <row r="1536">
      <c r="B1536" s="10"/>
      <c r="C1536" s="26"/>
      <c r="D1536" s="26"/>
      <c r="E1536" s="10"/>
      <c r="F1536" s="10"/>
    </row>
    <row r="1537">
      <c r="B1537" s="10"/>
      <c r="C1537" s="26"/>
      <c r="D1537" s="26"/>
      <c r="E1537" s="10"/>
      <c r="F1537" s="10"/>
    </row>
    <row r="1538">
      <c r="B1538" s="10"/>
      <c r="C1538" s="26"/>
      <c r="D1538" s="26"/>
      <c r="E1538" s="10"/>
      <c r="F1538" s="10"/>
    </row>
    <row r="1539">
      <c r="B1539" s="10"/>
      <c r="C1539" s="26"/>
      <c r="D1539" s="26"/>
      <c r="E1539" s="10"/>
      <c r="F1539" s="10"/>
    </row>
    <row r="1540">
      <c r="B1540" s="10"/>
      <c r="C1540" s="26"/>
      <c r="D1540" s="26"/>
      <c r="E1540" s="10"/>
      <c r="F1540" s="10"/>
    </row>
    <row r="1541">
      <c r="B1541" s="10"/>
      <c r="C1541" s="26"/>
      <c r="D1541" s="26"/>
      <c r="E1541" s="10"/>
      <c r="F1541" s="10"/>
    </row>
    <row r="1542">
      <c r="B1542" s="10"/>
      <c r="C1542" s="26"/>
      <c r="D1542" s="26"/>
      <c r="E1542" s="10"/>
      <c r="F1542" s="10"/>
    </row>
    <row r="1543">
      <c r="B1543" s="10"/>
      <c r="C1543" s="26"/>
      <c r="D1543" s="26"/>
      <c r="E1543" s="10"/>
      <c r="F1543" s="10"/>
    </row>
    <row r="1544">
      <c r="B1544" s="10"/>
      <c r="C1544" s="26"/>
      <c r="D1544" s="26"/>
      <c r="E1544" s="10"/>
      <c r="F1544" s="10"/>
    </row>
    <row r="1545">
      <c r="B1545" s="10"/>
      <c r="C1545" s="26"/>
      <c r="D1545" s="26"/>
      <c r="E1545" s="10"/>
      <c r="F1545" s="10"/>
    </row>
    <row r="1546">
      <c r="B1546" s="10"/>
      <c r="C1546" s="26"/>
      <c r="D1546" s="26"/>
      <c r="E1546" s="10"/>
      <c r="F1546" s="10"/>
    </row>
    <row r="1547">
      <c r="B1547" s="10"/>
      <c r="C1547" s="26"/>
      <c r="D1547" s="26"/>
      <c r="E1547" s="10"/>
      <c r="F1547" s="10"/>
    </row>
    <row r="1548">
      <c r="B1548" s="10"/>
      <c r="C1548" s="26"/>
      <c r="D1548" s="26"/>
      <c r="E1548" s="10"/>
      <c r="F1548" s="10"/>
    </row>
    <row r="1549">
      <c r="B1549" s="10"/>
      <c r="C1549" s="26"/>
      <c r="D1549" s="26"/>
      <c r="E1549" s="10"/>
      <c r="F1549" s="10"/>
    </row>
    <row r="1550">
      <c r="B1550" s="10"/>
      <c r="C1550" s="26"/>
      <c r="D1550" s="26"/>
      <c r="E1550" s="10"/>
      <c r="F1550" s="10"/>
    </row>
    <row r="1551">
      <c r="B1551" s="10"/>
      <c r="C1551" s="26"/>
      <c r="D1551" s="26"/>
      <c r="E1551" s="10"/>
      <c r="F1551" s="10"/>
    </row>
    <row r="1552">
      <c r="B1552" s="10"/>
      <c r="C1552" s="26"/>
      <c r="D1552" s="26"/>
      <c r="E1552" s="10"/>
      <c r="F1552" s="10"/>
    </row>
    <row r="1553">
      <c r="B1553" s="10"/>
      <c r="C1553" s="26"/>
      <c r="D1553" s="26"/>
      <c r="E1553" s="10"/>
      <c r="F1553" s="10"/>
    </row>
    <row r="1554">
      <c r="B1554" s="10"/>
      <c r="C1554" s="26"/>
      <c r="D1554" s="26"/>
      <c r="E1554" s="10"/>
      <c r="F1554" s="10"/>
    </row>
    <row r="1555">
      <c r="B1555" s="10"/>
      <c r="C1555" s="26"/>
      <c r="D1555" s="26"/>
      <c r="E1555" s="10"/>
      <c r="F1555" s="10"/>
    </row>
    <row r="1556">
      <c r="B1556" s="10"/>
      <c r="C1556" s="26"/>
      <c r="D1556" s="26"/>
      <c r="E1556" s="10"/>
      <c r="F1556" s="10"/>
    </row>
    <row r="1557">
      <c r="B1557" s="10"/>
      <c r="C1557" s="26"/>
      <c r="D1557" s="26"/>
      <c r="E1557" s="10"/>
      <c r="F1557" s="10"/>
    </row>
    <row r="1558">
      <c r="B1558" s="10"/>
      <c r="C1558" s="26"/>
      <c r="D1558" s="26"/>
      <c r="E1558" s="10"/>
      <c r="F1558" s="10"/>
    </row>
    <row r="1559">
      <c r="B1559" s="10"/>
      <c r="C1559" s="26"/>
      <c r="D1559" s="26"/>
      <c r="E1559" s="10"/>
      <c r="F1559" s="10"/>
    </row>
    <row r="1560">
      <c r="B1560" s="10"/>
      <c r="C1560" s="26"/>
      <c r="D1560" s="26"/>
      <c r="E1560" s="10"/>
      <c r="F1560" s="10"/>
    </row>
    <row r="1561">
      <c r="B1561" s="10"/>
      <c r="C1561" s="26"/>
      <c r="D1561" s="26"/>
      <c r="E1561" s="10"/>
      <c r="F1561" s="10"/>
    </row>
    <row r="1562">
      <c r="B1562" s="10"/>
      <c r="C1562" s="26"/>
      <c r="D1562" s="26"/>
      <c r="E1562" s="10"/>
      <c r="F1562" s="10"/>
    </row>
    <row r="1563">
      <c r="B1563" s="10"/>
      <c r="C1563" s="26"/>
      <c r="D1563" s="26"/>
      <c r="E1563" s="10"/>
      <c r="F1563" s="10"/>
    </row>
    <row r="1564">
      <c r="B1564" s="10"/>
      <c r="C1564" s="26"/>
      <c r="D1564" s="26"/>
      <c r="E1564" s="10"/>
      <c r="F1564" s="10"/>
    </row>
    <row r="1565">
      <c r="B1565" s="10"/>
      <c r="C1565" s="26"/>
      <c r="D1565" s="26"/>
      <c r="E1565" s="10"/>
      <c r="F1565" s="10"/>
    </row>
    <row r="1566">
      <c r="B1566" s="10"/>
      <c r="C1566" s="26"/>
      <c r="D1566" s="26"/>
      <c r="E1566" s="10"/>
      <c r="F1566" s="10"/>
    </row>
    <row r="1567">
      <c r="B1567" s="10"/>
      <c r="C1567" s="26"/>
      <c r="D1567" s="26"/>
      <c r="E1567" s="10"/>
      <c r="F1567" s="10"/>
    </row>
    <row r="1568">
      <c r="B1568" s="10"/>
      <c r="C1568" s="26"/>
      <c r="D1568" s="26"/>
      <c r="E1568" s="10"/>
      <c r="F1568" s="10"/>
    </row>
    <row r="1569">
      <c r="B1569" s="10"/>
      <c r="C1569" s="26"/>
      <c r="D1569" s="26"/>
      <c r="E1569" s="10"/>
      <c r="F1569" s="10"/>
    </row>
    <row r="1570">
      <c r="B1570" s="10"/>
      <c r="C1570" s="26"/>
      <c r="D1570" s="26"/>
      <c r="E1570" s="10"/>
      <c r="F1570" s="10"/>
    </row>
    <row r="1571">
      <c r="B1571" s="10"/>
      <c r="C1571" s="26"/>
      <c r="D1571" s="26"/>
      <c r="E1571" s="10"/>
      <c r="F1571" s="10"/>
    </row>
    <row r="1572">
      <c r="B1572" s="10"/>
      <c r="C1572" s="26"/>
      <c r="D1572" s="26"/>
      <c r="E1572" s="10"/>
      <c r="F1572" s="10"/>
    </row>
    <row r="1573">
      <c r="B1573" s="10"/>
      <c r="C1573" s="26"/>
      <c r="D1573" s="26"/>
      <c r="E1573" s="10"/>
      <c r="F1573" s="10"/>
    </row>
    <row r="1574">
      <c r="B1574" s="10"/>
      <c r="C1574" s="26"/>
      <c r="D1574" s="26"/>
      <c r="E1574" s="10"/>
      <c r="F1574" s="10"/>
    </row>
    <row r="1575">
      <c r="B1575" s="10"/>
      <c r="C1575" s="26"/>
      <c r="D1575" s="26"/>
      <c r="E1575" s="10"/>
      <c r="F1575" s="10"/>
    </row>
    <row r="1576">
      <c r="B1576" s="10"/>
      <c r="C1576" s="26"/>
      <c r="D1576" s="26"/>
      <c r="E1576" s="10"/>
      <c r="F1576" s="10"/>
    </row>
    <row r="1577">
      <c r="B1577" s="10"/>
      <c r="C1577" s="26"/>
      <c r="D1577" s="26"/>
      <c r="E1577" s="10"/>
      <c r="F1577" s="10"/>
    </row>
    <row r="1578">
      <c r="B1578" s="10"/>
      <c r="C1578" s="26"/>
      <c r="D1578" s="26"/>
      <c r="E1578" s="10"/>
      <c r="F1578" s="10"/>
    </row>
    <row r="1579">
      <c r="B1579" s="10"/>
      <c r="C1579" s="26"/>
      <c r="D1579" s="26"/>
      <c r="E1579" s="10"/>
      <c r="F1579" s="10"/>
    </row>
    <row r="1580">
      <c r="B1580" s="10"/>
      <c r="C1580" s="26"/>
      <c r="D1580" s="26"/>
      <c r="E1580" s="10"/>
      <c r="F1580" s="10"/>
    </row>
    <row r="1581">
      <c r="B1581" s="10"/>
      <c r="C1581" s="26"/>
      <c r="D1581" s="26"/>
      <c r="E1581" s="10"/>
      <c r="F1581" s="10"/>
    </row>
    <row r="1582">
      <c r="B1582" s="10"/>
      <c r="C1582" s="26"/>
      <c r="D1582" s="26"/>
      <c r="E1582" s="10"/>
      <c r="F1582" s="10"/>
    </row>
    <row r="1583">
      <c r="B1583" s="10"/>
      <c r="C1583" s="26"/>
      <c r="D1583" s="26"/>
      <c r="E1583" s="10"/>
      <c r="F1583" s="10"/>
    </row>
    <row r="1584">
      <c r="B1584" s="10"/>
      <c r="C1584" s="26"/>
      <c r="D1584" s="26"/>
      <c r="E1584" s="10"/>
      <c r="F1584" s="10"/>
    </row>
    <row r="1585">
      <c r="B1585" s="10"/>
      <c r="C1585" s="26"/>
      <c r="D1585" s="26"/>
      <c r="E1585" s="10"/>
      <c r="F1585" s="10"/>
    </row>
    <row r="1586">
      <c r="B1586" s="10"/>
      <c r="C1586" s="26"/>
      <c r="D1586" s="26"/>
      <c r="E1586" s="10"/>
      <c r="F1586" s="10"/>
    </row>
    <row r="1587">
      <c r="B1587" s="10"/>
      <c r="C1587" s="26"/>
      <c r="D1587" s="26"/>
      <c r="E1587" s="10"/>
      <c r="F1587" s="10"/>
    </row>
    <row r="1588">
      <c r="B1588" s="10"/>
      <c r="C1588" s="26"/>
      <c r="D1588" s="26"/>
      <c r="E1588" s="10"/>
      <c r="F1588" s="10"/>
    </row>
    <row r="1589">
      <c r="B1589" s="10"/>
      <c r="C1589" s="26"/>
      <c r="D1589" s="26"/>
      <c r="E1589" s="10"/>
      <c r="F1589" s="10"/>
    </row>
    <row r="1590">
      <c r="B1590" s="10"/>
      <c r="C1590" s="26"/>
      <c r="D1590" s="26"/>
      <c r="E1590" s="10"/>
      <c r="F1590" s="10"/>
    </row>
    <row r="1591">
      <c r="B1591" s="10"/>
      <c r="C1591" s="26"/>
      <c r="D1591" s="26"/>
      <c r="E1591" s="10"/>
      <c r="F1591" s="10"/>
    </row>
    <row r="1592">
      <c r="B1592" s="10"/>
      <c r="C1592" s="26"/>
      <c r="D1592" s="26"/>
      <c r="E1592" s="10"/>
      <c r="F1592" s="10"/>
    </row>
    <row r="1593">
      <c r="B1593" s="10"/>
      <c r="C1593" s="26"/>
      <c r="D1593" s="26"/>
      <c r="E1593" s="10"/>
      <c r="F1593" s="10"/>
    </row>
    <row r="1594">
      <c r="B1594" s="10"/>
      <c r="C1594" s="26"/>
      <c r="D1594" s="26"/>
      <c r="E1594" s="10"/>
      <c r="F1594" s="10"/>
    </row>
    <row r="1595">
      <c r="B1595" s="10"/>
      <c r="C1595" s="26"/>
      <c r="D1595" s="26"/>
      <c r="E1595" s="10"/>
      <c r="F1595" s="10"/>
    </row>
    <row r="1596">
      <c r="B1596" s="10"/>
      <c r="C1596" s="26"/>
      <c r="D1596" s="26"/>
      <c r="E1596" s="10"/>
      <c r="F1596" s="10"/>
    </row>
    <row r="1597">
      <c r="B1597" s="10"/>
      <c r="C1597" s="26"/>
      <c r="D1597" s="26"/>
      <c r="E1597" s="10"/>
      <c r="F1597" s="10"/>
    </row>
    <row r="1598">
      <c r="B1598" s="10"/>
      <c r="C1598" s="26"/>
      <c r="D1598" s="26"/>
      <c r="E1598" s="10"/>
      <c r="F1598" s="10"/>
    </row>
    <row r="1599">
      <c r="B1599" s="10"/>
      <c r="C1599" s="26"/>
      <c r="D1599" s="26"/>
      <c r="E1599" s="10"/>
      <c r="F1599" s="10"/>
    </row>
    <row r="1600">
      <c r="B1600" s="10"/>
      <c r="C1600" s="26"/>
      <c r="D1600" s="26"/>
      <c r="E1600" s="10"/>
      <c r="F1600" s="10"/>
    </row>
    <row r="1601">
      <c r="B1601" s="10"/>
      <c r="C1601" s="26"/>
      <c r="D1601" s="26"/>
      <c r="E1601" s="10"/>
      <c r="F1601" s="10"/>
    </row>
    <row r="1602">
      <c r="B1602" s="10"/>
      <c r="C1602" s="26"/>
      <c r="D1602" s="26"/>
      <c r="E1602" s="10"/>
      <c r="F1602" s="10"/>
    </row>
    <row r="1603">
      <c r="B1603" s="10"/>
      <c r="C1603" s="26"/>
      <c r="D1603" s="26"/>
      <c r="E1603" s="10"/>
      <c r="F1603" s="10"/>
    </row>
    <row r="1604">
      <c r="B1604" s="10"/>
      <c r="C1604" s="26"/>
      <c r="D1604" s="26"/>
      <c r="E1604" s="10"/>
      <c r="F1604" s="10"/>
    </row>
    <row r="1605">
      <c r="B1605" s="10"/>
      <c r="C1605" s="26"/>
      <c r="D1605" s="26"/>
      <c r="E1605" s="10"/>
      <c r="F1605" s="10"/>
    </row>
    <row r="1606">
      <c r="B1606" s="10"/>
      <c r="C1606" s="26"/>
      <c r="D1606" s="26"/>
      <c r="E1606" s="10"/>
      <c r="F1606" s="10"/>
    </row>
    <row r="1607">
      <c r="B1607" s="10"/>
      <c r="C1607" s="26"/>
      <c r="D1607" s="26"/>
      <c r="E1607" s="10"/>
      <c r="F1607" s="10"/>
    </row>
    <row r="1608">
      <c r="B1608" s="10"/>
      <c r="C1608" s="26"/>
      <c r="D1608" s="26"/>
      <c r="E1608" s="10"/>
      <c r="F1608" s="10"/>
    </row>
    <row r="1609">
      <c r="B1609" s="10"/>
      <c r="C1609" s="26"/>
      <c r="D1609" s="26"/>
      <c r="E1609" s="10"/>
      <c r="F1609" s="10"/>
    </row>
    <row r="1610">
      <c r="B1610" s="10"/>
      <c r="C1610" s="26"/>
      <c r="D1610" s="26"/>
      <c r="E1610" s="10"/>
      <c r="F1610" s="10"/>
    </row>
    <row r="1611">
      <c r="B1611" s="10"/>
      <c r="C1611" s="26"/>
      <c r="D1611" s="26"/>
      <c r="E1611" s="10"/>
      <c r="F1611" s="10"/>
    </row>
    <row r="1612">
      <c r="B1612" s="10"/>
      <c r="C1612" s="26"/>
      <c r="D1612" s="26"/>
      <c r="E1612" s="10"/>
      <c r="F1612" s="10"/>
    </row>
    <row r="1613">
      <c r="B1613" s="10"/>
      <c r="C1613" s="26"/>
      <c r="D1613" s="26"/>
      <c r="E1613" s="10"/>
      <c r="F1613" s="10"/>
    </row>
    <row r="1614">
      <c r="B1614" s="10"/>
      <c r="C1614" s="26"/>
      <c r="D1614" s="26"/>
      <c r="E1614" s="10"/>
      <c r="F1614" s="10"/>
    </row>
    <row r="1615">
      <c r="B1615" s="10"/>
      <c r="C1615" s="26"/>
      <c r="D1615" s="26"/>
      <c r="E1615" s="10"/>
      <c r="F1615" s="10"/>
    </row>
    <row r="1616">
      <c r="B1616" s="10"/>
      <c r="C1616" s="26"/>
      <c r="D1616" s="26"/>
      <c r="E1616" s="10"/>
      <c r="F1616" s="10"/>
    </row>
    <row r="1617">
      <c r="B1617" s="10"/>
      <c r="C1617" s="26"/>
      <c r="D1617" s="26"/>
      <c r="E1617" s="10"/>
      <c r="F1617" s="10"/>
    </row>
    <row r="1618">
      <c r="B1618" s="10"/>
      <c r="C1618" s="26"/>
      <c r="D1618" s="26"/>
      <c r="E1618" s="10"/>
      <c r="F1618" s="10"/>
    </row>
    <row r="1619">
      <c r="B1619" s="10"/>
      <c r="C1619" s="26"/>
      <c r="D1619" s="26"/>
      <c r="E1619" s="10"/>
      <c r="F1619" s="10"/>
    </row>
    <row r="1620">
      <c r="B1620" s="10"/>
      <c r="C1620" s="26"/>
      <c r="D1620" s="26"/>
      <c r="E1620" s="10"/>
      <c r="F1620" s="10"/>
    </row>
    <row r="1621">
      <c r="B1621" s="10"/>
      <c r="C1621" s="26"/>
      <c r="D1621" s="26"/>
      <c r="E1621" s="10"/>
      <c r="F1621" s="10"/>
    </row>
    <row r="1622">
      <c r="B1622" s="10"/>
      <c r="C1622" s="26"/>
      <c r="D1622" s="26"/>
      <c r="E1622" s="10"/>
      <c r="F1622" s="10"/>
    </row>
    <row r="1623">
      <c r="B1623" s="10"/>
      <c r="C1623" s="26"/>
      <c r="D1623" s="26"/>
      <c r="E1623" s="10"/>
      <c r="F1623" s="10"/>
    </row>
    <row r="1624">
      <c r="B1624" s="10"/>
      <c r="C1624" s="26"/>
      <c r="D1624" s="26"/>
      <c r="E1624" s="10"/>
      <c r="F1624" s="10"/>
    </row>
    <row r="1625">
      <c r="B1625" s="10"/>
      <c r="C1625" s="26"/>
      <c r="D1625" s="26"/>
      <c r="E1625" s="10"/>
      <c r="F1625" s="10"/>
    </row>
    <row r="1626">
      <c r="B1626" s="10"/>
      <c r="C1626" s="26"/>
      <c r="D1626" s="26"/>
      <c r="E1626" s="10"/>
      <c r="F1626" s="10"/>
    </row>
    <row r="1627">
      <c r="B1627" s="10"/>
      <c r="C1627" s="26"/>
      <c r="D1627" s="26"/>
      <c r="E1627" s="10"/>
      <c r="F1627" s="10"/>
    </row>
    <row r="1628">
      <c r="B1628" s="10"/>
      <c r="C1628" s="26"/>
      <c r="D1628" s="26"/>
      <c r="E1628" s="10"/>
      <c r="F1628" s="10"/>
    </row>
    <row r="1629">
      <c r="B1629" s="10"/>
      <c r="C1629" s="26"/>
      <c r="D1629" s="26"/>
      <c r="E1629" s="10"/>
      <c r="F1629" s="10"/>
    </row>
    <row r="1630">
      <c r="B1630" s="10"/>
      <c r="C1630" s="26"/>
      <c r="D1630" s="26"/>
      <c r="E1630" s="10"/>
      <c r="F1630" s="10"/>
    </row>
    <row r="1631">
      <c r="B1631" s="10"/>
      <c r="C1631" s="26"/>
      <c r="D1631" s="26"/>
      <c r="E1631" s="10"/>
      <c r="F1631" s="10"/>
    </row>
    <row r="1632">
      <c r="B1632" s="10"/>
      <c r="C1632" s="26"/>
      <c r="D1632" s="26"/>
      <c r="E1632" s="10"/>
      <c r="F1632" s="10"/>
    </row>
    <row r="1633">
      <c r="B1633" s="10"/>
      <c r="C1633" s="26"/>
      <c r="D1633" s="26"/>
      <c r="E1633" s="10"/>
      <c r="F1633" s="10"/>
    </row>
    <row r="1634">
      <c r="B1634" s="10"/>
      <c r="C1634" s="26"/>
      <c r="D1634" s="26"/>
      <c r="E1634" s="10"/>
      <c r="F1634" s="10"/>
    </row>
    <row r="1635">
      <c r="B1635" s="10"/>
      <c r="C1635" s="26"/>
      <c r="D1635" s="26"/>
      <c r="E1635" s="10"/>
      <c r="F1635" s="10"/>
    </row>
    <row r="1636">
      <c r="B1636" s="10"/>
      <c r="C1636" s="26"/>
      <c r="D1636" s="26"/>
      <c r="E1636" s="10"/>
      <c r="F1636" s="10"/>
    </row>
    <row r="1637">
      <c r="B1637" s="10"/>
      <c r="C1637" s="26"/>
      <c r="D1637" s="26"/>
      <c r="E1637" s="10"/>
      <c r="F1637" s="10"/>
    </row>
    <row r="1638">
      <c r="B1638" s="10"/>
      <c r="C1638" s="26"/>
      <c r="D1638" s="26"/>
      <c r="E1638" s="10"/>
      <c r="F1638" s="10"/>
    </row>
    <row r="1639">
      <c r="B1639" s="10"/>
      <c r="C1639" s="26"/>
      <c r="D1639" s="26"/>
      <c r="E1639" s="10"/>
      <c r="F1639" s="10"/>
    </row>
    <row r="1640">
      <c r="B1640" s="10"/>
      <c r="C1640" s="26"/>
      <c r="D1640" s="26"/>
      <c r="E1640" s="10"/>
      <c r="F1640" s="10"/>
    </row>
    <row r="1641">
      <c r="B1641" s="10"/>
      <c r="C1641" s="26"/>
      <c r="D1641" s="26"/>
      <c r="E1641" s="10"/>
      <c r="F1641" s="10"/>
    </row>
    <row r="1642">
      <c r="B1642" s="10"/>
      <c r="C1642" s="26"/>
      <c r="D1642" s="26"/>
      <c r="E1642" s="10"/>
      <c r="F1642" s="10"/>
    </row>
    <row r="1643">
      <c r="B1643" s="10"/>
      <c r="C1643" s="26"/>
      <c r="D1643" s="26"/>
      <c r="E1643" s="10"/>
      <c r="F1643" s="10"/>
    </row>
    <row r="1644">
      <c r="B1644" s="10"/>
      <c r="C1644" s="26"/>
      <c r="D1644" s="26"/>
      <c r="E1644" s="10"/>
      <c r="F1644" s="10"/>
    </row>
    <row r="1645">
      <c r="B1645" s="10"/>
      <c r="C1645" s="26"/>
      <c r="D1645" s="26"/>
      <c r="E1645" s="10"/>
      <c r="F1645" s="10"/>
    </row>
    <row r="1646">
      <c r="B1646" s="10"/>
      <c r="C1646" s="26"/>
      <c r="D1646" s="26"/>
      <c r="E1646" s="10"/>
      <c r="F1646" s="10"/>
    </row>
    <row r="1647">
      <c r="B1647" s="10"/>
      <c r="C1647" s="26"/>
      <c r="D1647" s="26"/>
      <c r="E1647" s="10"/>
      <c r="F1647" s="10"/>
    </row>
    <row r="1648">
      <c r="B1648" s="10"/>
      <c r="C1648" s="26"/>
      <c r="D1648" s="26"/>
      <c r="E1648" s="10"/>
      <c r="F1648" s="10"/>
    </row>
    <row r="1649">
      <c r="B1649" s="10"/>
      <c r="C1649" s="26"/>
      <c r="D1649" s="26"/>
      <c r="E1649" s="10"/>
      <c r="F1649" s="10"/>
    </row>
    <row r="1650">
      <c r="B1650" s="10"/>
      <c r="C1650" s="26"/>
      <c r="D1650" s="26"/>
      <c r="E1650" s="10"/>
      <c r="F1650" s="10"/>
    </row>
    <row r="1651">
      <c r="B1651" s="10"/>
      <c r="C1651" s="26"/>
      <c r="D1651" s="26"/>
      <c r="E1651" s="10"/>
      <c r="F1651" s="10"/>
    </row>
    <row r="1652">
      <c r="B1652" s="10"/>
      <c r="C1652" s="26"/>
      <c r="D1652" s="26"/>
      <c r="E1652" s="10"/>
      <c r="F1652" s="10"/>
    </row>
    <row r="1653">
      <c r="B1653" s="10"/>
      <c r="C1653" s="26"/>
      <c r="D1653" s="26"/>
      <c r="E1653" s="10"/>
      <c r="F1653" s="10"/>
    </row>
    <row r="1654">
      <c r="B1654" s="10"/>
      <c r="C1654" s="26"/>
      <c r="D1654" s="26"/>
      <c r="E1654" s="10"/>
      <c r="F1654" s="10"/>
    </row>
    <row r="1655">
      <c r="B1655" s="10"/>
      <c r="C1655" s="26"/>
      <c r="D1655" s="26"/>
      <c r="E1655" s="10"/>
      <c r="F1655" s="10"/>
    </row>
    <row r="1656">
      <c r="B1656" s="10"/>
      <c r="C1656" s="26"/>
      <c r="D1656" s="26"/>
      <c r="E1656" s="10"/>
      <c r="F1656" s="10"/>
    </row>
    <row r="1657">
      <c r="B1657" s="10"/>
      <c r="C1657" s="26"/>
      <c r="D1657" s="26"/>
      <c r="E1657" s="10"/>
      <c r="F1657" s="10"/>
    </row>
    <row r="1658">
      <c r="B1658" s="10"/>
      <c r="C1658" s="26"/>
      <c r="D1658" s="26"/>
      <c r="E1658" s="10"/>
      <c r="F1658" s="10"/>
    </row>
    <row r="1659">
      <c r="B1659" s="10"/>
      <c r="C1659" s="26"/>
      <c r="D1659" s="26"/>
      <c r="E1659" s="10"/>
      <c r="F1659" s="10"/>
    </row>
    <row r="1660">
      <c r="B1660" s="10"/>
      <c r="C1660" s="26"/>
      <c r="D1660" s="26"/>
      <c r="E1660" s="10"/>
      <c r="F1660" s="10"/>
    </row>
    <row r="1661">
      <c r="B1661" s="10"/>
      <c r="C1661" s="26"/>
      <c r="D1661" s="26"/>
      <c r="E1661" s="10"/>
      <c r="F1661" s="10"/>
    </row>
    <row r="1662">
      <c r="B1662" s="10"/>
      <c r="C1662" s="26"/>
      <c r="D1662" s="26"/>
      <c r="E1662" s="10"/>
      <c r="F1662" s="10"/>
    </row>
    <row r="1663">
      <c r="B1663" s="10"/>
      <c r="C1663" s="26"/>
      <c r="D1663" s="26"/>
      <c r="E1663" s="10"/>
      <c r="F1663" s="10"/>
    </row>
    <row r="1664">
      <c r="B1664" s="10"/>
      <c r="C1664" s="26"/>
      <c r="D1664" s="26"/>
      <c r="E1664" s="10"/>
      <c r="F1664" s="10"/>
    </row>
    <row r="1665">
      <c r="B1665" s="10"/>
      <c r="C1665" s="26"/>
      <c r="D1665" s="26"/>
      <c r="E1665" s="10"/>
      <c r="F1665" s="10"/>
    </row>
    <row r="1666">
      <c r="B1666" s="10"/>
      <c r="C1666" s="26"/>
      <c r="D1666" s="26"/>
      <c r="E1666" s="10"/>
      <c r="F1666" s="10"/>
    </row>
    <row r="1667">
      <c r="B1667" s="10"/>
      <c r="C1667" s="26"/>
      <c r="D1667" s="26"/>
      <c r="E1667" s="10"/>
      <c r="F1667" s="10"/>
    </row>
    <row r="1668">
      <c r="B1668" s="10"/>
      <c r="C1668" s="26"/>
      <c r="D1668" s="26"/>
      <c r="E1668" s="10"/>
      <c r="F1668" s="10"/>
    </row>
    <row r="1669">
      <c r="B1669" s="10"/>
      <c r="C1669" s="26"/>
      <c r="D1669" s="26"/>
      <c r="E1669" s="10"/>
      <c r="F1669" s="10"/>
    </row>
    <row r="1670">
      <c r="B1670" s="10"/>
      <c r="C1670" s="26"/>
      <c r="D1670" s="26"/>
      <c r="E1670" s="10"/>
      <c r="F1670" s="10"/>
    </row>
    <row r="1671">
      <c r="B1671" s="10"/>
      <c r="C1671" s="26"/>
      <c r="D1671" s="26"/>
      <c r="E1671" s="10"/>
      <c r="F1671" s="10"/>
    </row>
    <row r="1672">
      <c r="B1672" s="10"/>
      <c r="C1672" s="26"/>
      <c r="D1672" s="26"/>
      <c r="E1672" s="10"/>
      <c r="F1672" s="10"/>
    </row>
    <row r="1673">
      <c r="B1673" s="10"/>
      <c r="C1673" s="26"/>
      <c r="D1673" s="26"/>
      <c r="E1673" s="10"/>
      <c r="F1673" s="10"/>
    </row>
    <row r="1674">
      <c r="B1674" s="10"/>
      <c r="C1674" s="26"/>
      <c r="D1674" s="26"/>
      <c r="E1674" s="10"/>
      <c r="F1674" s="10"/>
    </row>
    <row r="1675">
      <c r="B1675" s="10"/>
      <c r="C1675" s="26"/>
      <c r="D1675" s="26"/>
      <c r="E1675" s="10"/>
      <c r="F1675" s="10"/>
    </row>
    <row r="1676">
      <c r="B1676" s="10"/>
      <c r="C1676" s="26"/>
      <c r="D1676" s="26"/>
      <c r="E1676" s="10"/>
      <c r="F1676" s="10"/>
    </row>
    <row r="1677">
      <c r="B1677" s="10"/>
      <c r="C1677" s="26"/>
      <c r="D1677" s="26"/>
      <c r="E1677" s="10"/>
      <c r="F1677" s="10"/>
    </row>
    <row r="1678">
      <c r="B1678" s="10"/>
      <c r="C1678" s="26"/>
      <c r="D1678" s="26"/>
      <c r="E1678" s="10"/>
      <c r="F1678" s="10"/>
    </row>
    <row r="1679">
      <c r="B1679" s="10"/>
      <c r="C1679" s="26"/>
      <c r="D1679" s="26"/>
      <c r="E1679" s="10"/>
      <c r="F1679" s="10"/>
    </row>
    <row r="1680">
      <c r="B1680" s="10"/>
      <c r="C1680" s="26"/>
      <c r="D1680" s="26"/>
      <c r="E1680" s="10"/>
      <c r="F1680" s="10"/>
    </row>
    <row r="1681">
      <c r="B1681" s="10"/>
      <c r="C1681" s="26"/>
      <c r="D1681" s="26"/>
      <c r="E1681" s="10"/>
      <c r="F1681" s="10"/>
    </row>
    <row r="1682">
      <c r="B1682" s="10"/>
      <c r="C1682" s="26"/>
      <c r="D1682" s="26"/>
      <c r="E1682" s="10"/>
      <c r="F1682" s="10"/>
    </row>
    <row r="1683">
      <c r="B1683" s="10"/>
      <c r="C1683" s="26"/>
      <c r="D1683" s="26"/>
      <c r="E1683" s="10"/>
      <c r="F1683" s="10"/>
    </row>
    <row r="1684">
      <c r="B1684" s="10"/>
      <c r="C1684" s="26"/>
      <c r="D1684" s="26"/>
      <c r="E1684" s="10"/>
      <c r="F1684" s="10"/>
    </row>
    <row r="1685">
      <c r="B1685" s="10"/>
      <c r="C1685" s="26"/>
      <c r="D1685" s="26"/>
      <c r="E1685" s="10"/>
      <c r="F1685" s="10"/>
    </row>
    <row r="1686">
      <c r="B1686" s="10"/>
      <c r="C1686" s="26"/>
      <c r="D1686" s="26"/>
      <c r="E1686" s="10"/>
      <c r="F1686" s="10"/>
    </row>
    <row r="1687">
      <c r="B1687" s="10"/>
      <c r="C1687" s="26"/>
      <c r="D1687" s="26"/>
      <c r="E1687" s="10"/>
      <c r="F1687" s="10"/>
    </row>
    <row r="1688">
      <c r="B1688" s="10"/>
      <c r="C1688" s="26"/>
      <c r="D1688" s="26"/>
      <c r="E1688" s="10"/>
      <c r="F1688" s="10"/>
    </row>
    <row r="1689">
      <c r="B1689" s="10"/>
      <c r="C1689" s="26"/>
      <c r="D1689" s="26"/>
      <c r="E1689" s="10"/>
      <c r="F1689" s="10"/>
    </row>
    <row r="1690">
      <c r="B1690" s="10"/>
      <c r="C1690" s="26"/>
      <c r="D1690" s="26"/>
      <c r="E1690" s="10"/>
      <c r="F1690" s="10"/>
    </row>
    <row r="1691">
      <c r="B1691" s="10"/>
      <c r="C1691" s="26"/>
      <c r="D1691" s="26"/>
      <c r="E1691" s="10"/>
      <c r="F1691" s="10"/>
    </row>
    <row r="1692">
      <c r="B1692" s="10"/>
      <c r="C1692" s="26"/>
      <c r="D1692" s="26"/>
      <c r="E1692" s="10"/>
      <c r="F1692" s="10"/>
    </row>
    <row r="1693">
      <c r="B1693" s="10"/>
      <c r="C1693" s="26"/>
      <c r="D1693" s="26"/>
      <c r="E1693" s="10"/>
      <c r="F1693" s="10"/>
    </row>
    <row r="1694">
      <c r="B1694" s="10"/>
      <c r="C1694" s="26"/>
      <c r="D1694" s="26"/>
      <c r="E1694" s="10"/>
      <c r="F1694" s="10"/>
    </row>
    <row r="1695">
      <c r="B1695" s="10"/>
      <c r="C1695" s="26"/>
      <c r="D1695" s="26"/>
      <c r="E1695" s="10"/>
      <c r="F1695" s="10"/>
    </row>
    <row r="1696">
      <c r="B1696" s="10"/>
      <c r="C1696" s="26"/>
      <c r="D1696" s="26"/>
      <c r="E1696" s="10"/>
      <c r="F1696" s="10"/>
    </row>
    <row r="1697">
      <c r="B1697" s="10"/>
      <c r="C1697" s="26"/>
      <c r="D1697" s="26"/>
      <c r="E1697" s="10"/>
      <c r="F1697" s="10"/>
    </row>
    <row r="1698">
      <c r="B1698" s="10"/>
      <c r="C1698" s="26"/>
      <c r="D1698" s="26"/>
      <c r="E1698" s="10"/>
      <c r="F1698" s="10"/>
    </row>
    <row r="1699">
      <c r="B1699" s="10"/>
      <c r="C1699" s="26"/>
      <c r="D1699" s="26"/>
      <c r="E1699" s="10"/>
      <c r="F1699" s="10"/>
    </row>
    <row r="1700">
      <c r="B1700" s="10"/>
      <c r="C1700" s="26"/>
      <c r="D1700" s="26"/>
      <c r="E1700" s="10"/>
      <c r="F1700" s="10"/>
    </row>
    <row r="1701">
      <c r="B1701" s="10"/>
      <c r="C1701" s="26"/>
      <c r="D1701" s="26"/>
      <c r="E1701" s="10"/>
      <c r="F1701" s="10"/>
    </row>
    <row r="1702">
      <c r="B1702" s="10"/>
      <c r="C1702" s="26"/>
      <c r="D1702" s="26"/>
      <c r="E1702" s="10"/>
      <c r="F1702" s="10"/>
    </row>
    <row r="1703">
      <c r="B1703" s="10"/>
      <c r="C1703" s="26"/>
      <c r="D1703" s="26"/>
      <c r="E1703" s="10"/>
      <c r="F1703" s="10"/>
    </row>
    <row r="1704">
      <c r="B1704" s="10"/>
      <c r="C1704" s="26"/>
      <c r="D1704" s="26"/>
      <c r="E1704" s="10"/>
      <c r="F1704" s="10"/>
    </row>
    <row r="1705">
      <c r="B1705" s="10"/>
      <c r="C1705" s="26"/>
      <c r="D1705" s="26"/>
      <c r="E1705" s="10"/>
      <c r="F1705" s="10"/>
    </row>
    <row r="1706">
      <c r="B1706" s="10"/>
      <c r="C1706" s="26"/>
      <c r="D1706" s="26"/>
      <c r="E1706" s="10"/>
      <c r="F1706" s="10"/>
    </row>
    <row r="1707">
      <c r="B1707" s="10"/>
      <c r="C1707" s="26"/>
      <c r="D1707" s="26"/>
      <c r="E1707" s="10"/>
      <c r="F1707" s="10"/>
    </row>
    <row r="1708">
      <c r="B1708" s="10"/>
      <c r="C1708" s="26"/>
      <c r="D1708" s="26"/>
      <c r="E1708" s="10"/>
      <c r="F1708" s="10"/>
    </row>
    <row r="1709">
      <c r="B1709" s="10"/>
      <c r="C1709" s="26"/>
      <c r="D1709" s="26"/>
      <c r="E1709" s="10"/>
      <c r="F1709" s="10"/>
    </row>
    <row r="1710">
      <c r="B1710" s="10"/>
      <c r="C1710" s="26"/>
      <c r="D1710" s="26"/>
      <c r="E1710" s="10"/>
      <c r="F1710" s="10"/>
    </row>
    <row r="1711">
      <c r="B1711" s="10"/>
      <c r="C1711" s="26"/>
      <c r="D1711" s="26"/>
      <c r="E1711" s="10"/>
      <c r="F1711" s="10"/>
    </row>
    <row r="1712">
      <c r="B1712" s="10"/>
      <c r="C1712" s="26"/>
      <c r="D1712" s="26"/>
      <c r="E1712" s="10"/>
      <c r="F1712" s="10"/>
    </row>
    <row r="1713">
      <c r="B1713" s="10"/>
      <c r="C1713" s="26"/>
      <c r="D1713" s="26"/>
      <c r="E1713" s="10"/>
      <c r="F1713" s="10"/>
    </row>
    <row r="1714">
      <c r="B1714" s="10"/>
      <c r="C1714" s="26"/>
      <c r="D1714" s="26"/>
      <c r="E1714" s="10"/>
      <c r="F1714" s="10"/>
    </row>
    <row r="1715">
      <c r="B1715" s="10"/>
      <c r="C1715" s="26"/>
      <c r="D1715" s="26"/>
      <c r="E1715" s="10"/>
      <c r="F1715" s="10"/>
    </row>
    <row r="1716">
      <c r="B1716" s="10"/>
      <c r="C1716" s="26"/>
      <c r="D1716" s="26"/>
      <c r="E1716" s="10"/>
      <c r="F1716" s="10"/>
    </row>
    <row r="1717">
      <c r="B1717" s="10"/>
      <c r="C1717" s="26"/>
      <c r="D1717" s="26"/>
      <c r="E1717" s="10"/>
      <c r="F1717" s="10"/>
    </row>
    <row r="1718">
      <c r="B1718" s="10"/>
      <c r="C1718" s="26"/>
      <c r="D1718" s="26"/>
      <c r="E1718" s="10"/>
      <c r="F1718" s="10"/>
    </row>
    <row r="1719">
      <c r="B1719" s="10"/>
      <c r="C1719" s="26"/>
      <c r="D1719" s="26"/>
      <c r="E1719" s="10"/>
      <c r="F1719" s="10"/>
    </row>
    <row r="1720">
      <c r="B1720" s="10"/>
      <c r="C1720" s="26"/>
      <c r="D1720" s="26"/>
      <c r="E1720" s="10"/>
      <c r="F1720" s="10"/>
    </row>
    <row r="1721">
      <c r="B1721" s="10"/>
      <c r="C1721" s="26"/>
      <c r="D1721" s="26"/>
      <c r="E1721" s="10"/>
      <c r="F1721" s="10"/>
    </row>
    <row r="1722">
      <c r="B1722" s="10"/>
      <c r="C1722" s="26"/>
      <c r="D1722" s="26"/>
      <c r="E1722" s="10"/>
      <c r="F1722" s="10"/>
    </row>
    <row r="1723">
      <c r="B1723" s="10"/>
      <c r="C1723" s="26"/>
      <c r="D1723" s="26"/>
      <c r="E1723" s="10"/>
      <c r="F1723" s="10"/>
    </row>
    <row r="1724">
      <c r="B1724" s="10"/>
      <c r="C1724" s="26"/>
      <c r="D1724" s="26"/>
      <c r="E1724" s="10"/>
      <c r="F1724" s="10"/>
    </row>
    <row r="1725">
      <c r="B1725" s="10"/>
      <c r="C1725" s="26"/>
      <c r="D1725" s="26"/>
      <c r="E1725" s="10"/>
      <c r="F1725" s="10"/>
    </row>
    <row r="1726">
      <c r="B1726" s="10"/>
      <c r="C1726" s="26"/>
      <c r="D1726" s="26"/>
      <c r="E1726" s="10"/>
      <c r="F1726" s="10"/>
    </row>
    <row r="1727">
      <c r="B1727" s="10"/>
      <c r="C1727" s="26"/>
      <c r="D1727" s="26"/>
      <c r="E1727" s="10"/>
      <c r="F1727" s="10"/>
    </row>
    <row r="1728">
      <c r="B1728" s="10"/>
      <c r="C1728" s="26"/>
      <c r="D1728" s="26"/>
      <c r="E1728" s="10"/>
      <c r="F1728" s="10"/>
    </row>
    <row r="1729">
      <c r="B1729" s="10"/>
      <c r="C1729" s="26"/>
      <c r="D1729" s="26"/>
      <c r="E1729" s="10"/>
      <c r="F1729" s="10"/>
    </row>
    <row r="1730">
      <c r="B1730" s="10"/>
      <c r="C1730" s="26"/>
      <c r="D1730" s="26"/>
      <c r="E1730" s="10"/>
      <c r="F1730" s="10"/>
    </row>
    <row r="1731">
      <c r="B1731" s="10"/>
      <c r="C1731" s="26"/>
      <c r="D1731" s="26"/>
      <c r="E1731" s="10"/>
      <c r="F1731" s="10"/>
    </row>
    <row r="1732">
      <c r="B1732" s="10"/>
      <c r="C1732" s="26"/>
      <c r="D1732" s="26"/>
      <c r="E1732" s="10"/>
      <c r="F1732" s="10"/>
    </row>
    <row r="1733">
      <c r="B1733" s="10"/>
      <c r="C1733" s="26"/>
      <c r="D1733" s="26"/>
      <c r="E1733" s="10"/>
      <c r="F1733" s="10"/>
    </row>
    <row r="1734">
      <c r="B1734" s="10"/>
      <c r="C1734" s="26"/>
      <c r="D1734" s="26"/>
      <c r="E1734" s="10"/>
      <c r="F1734" s="10"/>
    </row>
    <row r="1735">
      <c r="B1735" s="10"/>
      <c r="C1735" s="26"/>
      <c r="D1735" s="26"/>
      <c r="E1735" s="10"/>
      <c r="F1735" s="10"/>
    </row>
    <row r="1736">
      <c r="B1736" s="10"/>
      <c r="C1736" s="26"/>
      <c r="D1736" s="26"/>
      <c r="E1736" s="10"/>
      <c r="F173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10" t="s">
        <v>286</v>
      </c>
      <c r="E7" s="10" t="s">
        <v>287</v>
      </c>
      <c r="I7" s="10" t="s">
        <v>288</v>
      </c>
      <c r="M7" s="10" t="s">
        <v>289</v>
      </c>
    </row>
    <row r="8">
      <c r="A8" s="22" t="s">
        <v>243</v>
      </c>
      <c r="B8" s="22">
        <v>1.0</v>
      </c>
      <c r="E8" s="22" t="s">
        <v>237</v>
      </c>
      <c r="F8" s="22">
        <v>1.0</v>
      </c>
      <c r="I8" s="22" t="s">
        <v>24</v>
      </c>
      <c r="J8" s="22">
        <v>1.0</v>
      </c>
      <c r="M8" s="22" t="s">
        <v>290</v>
      </c>
      <c r="N8" s="22">
        <v>1.0</v>
      </c>
    </row>
    <row r="9">
      <c r="A9" s="22" t="s">
        <v>231</v>
      </c>
      <c r="B9" s="22">
        <v>2.0</v>
      </c>
      <c r="E9" s="22" t="s">
        <v>234</v>
      </c>
      <c r="F9" s="22">
        <v>2.0</v>
      </c>
      <c r="I9" s="22" t="s">
        <v>150</v>
      </c>
      <c r="J9" s="22">
        <v>2.0</v>
      </c>
      <c r="M9" s="22" t="s">
        <v>291</v>
      </c>
      <c r="N9" s="22">
        <v>2.0</v>
      </c>
    </row>
    <row r="10">
      <c r="A10" s="22" t="s">
        <v>235</v>
      </c>
      <c r="B10" s="22">
        <v>3.0</v>
      </c>
      <c r="E10" s="22" t="s">
        <v>230</v>
      </c>
      <c r="F10" s="22">
        <v>3.0</v>
      </c>
      <c r="I10" s="22" t="s">
        <v>115</v>
      </c>
      <c r="J10" s="22">
        <v>3.0</v>
      </c>
      <c r="M10" s="22" t="s">
        <v>292</v>
      </c>
      <c r="N10" s="22">
        <v>3.0</v>
      </c>
    </row>
    <row r="11">
      <c r="A11" s="22" t="s">
        <v>238</v>
      </c>
      <c r="B11" s="22">
        <v>4.0</v>
      </c>
      <c r="E11" s="22" t="s">
        <v>271</v>
      </c>
      <c r="F11" s="22">
        <v>4.0</v>
      </c>
      <c r="I11" s="22" t="s">
        <v>209</v>
      </c>
      <c r="J11" s="22">
        <v>4.0</v>
      </c>
      <c r="M11" s="22" t="s">
        <v>293</v>
      </c>
      <c r="N11" s="22">
        <v>4.0</v>
      </c>
    </row>
    <row r="12">
      <c r="A12" s="22" t="s">
        <v>233</v>
      </c>
      <c r="B12" s="22">
        <v>5.0</v>
      </c>
      <c r="E12" s="22" t="s">
        <v>277</v>
      </c>
      <c r="F12" s="22">
        <v>5.0</v>
      </c>
      <c r="I12" s="21"/>
      <c r="J12" s="21"/>
      <c r="M12" s="22" t="s">
        <v>294</v>
      </c>
      <c r="N12" s="22">
        <v>5.0</v>
      </c>
    </row>
    <row r="13">
      <c r="A13" s="22" t="s">
        <v>236</v>
      </c>
      <c r="B13" s="22">
        <v>6.0</v>
      </c>
      <c r="E13" s="22" t="s">
        <v>281</v>
      </c>
      <c r="F13" s="22">
        <v>6.0</v>
      </c>
      <c r="I13" s="21"/>
      <c r="J13" s="21"/>
      <c r="M13" s="27"/>
      <c r="N13" s="28"/>
    </row>
    <row r="14">
      <c r="A14" s="22" t="s">
        <v>239</v>
      </c>
      <c r="B14" s="22">
        <v>7.0</v>
      </c>
      <c r="E14" s="22" t="s">
        <v>279</v>
      </c>
      <c r="F14" s="22">
        <v>7.0</v>
      </c>
      <c r="I14" s="21"/>
      <c r="J14" s="21"/>
      <c r="M14" s="29"/>
      <c r="N14" s="30"/>
    </row>
    <row r="15">
      <c r="A15" s="22" t="s">
        <v>240</v>
      </c>
      <c r="B15" s="22">
        <v>8.0</v>
      </c>
      <c r="E15" s="22" t="s">
        <v>232</v>
      </c>
      <c r="F15" s="22">
        <v>8.0</v>
      </c>
      <c r="I15" s="21"/>
      <c r="J15" s="21"/>
      <c r="M15" s="21"/>
      <c r="N15" s="21"/>
    </row>
    <row r="16">
      <c r="A16" s="22" t="s">
        <v>241</v>
      </c>
      <c r="B16" s="22">
        <v>9.0</v>
      </c>
      <c r="E16" s="22" t="s">
        <v>242</v>
      </c>
      <c r="F16" s="22">
        <v>9.0</v>
      </c>
      <c r="G16" s="10" t="s">
        <v>295</v>
      </c>
      <c r="I16" s="21"/>
      <c r="J16" s="21"/>
      <c r="M16" s="21"/>
      <c r="N16" s="21"/>
    </row>
    <row r="17">
      <c r="A17" s="22" t="s">
        <v>244</v>
      </c>
      <c r="B17" s="22">
        <v>10.0</v>
      </c>
      <c r="E17" s="22" t="s">
        <v>263</v>
      </c>
      <c r="F17" s="22">
        <v>10.0</v>
      </c>
      <c r="I17" s="21"/>
      <c r="J17" s="21"/>
      <c r="M17" s="21"/>
      <c r="N17" s="21"/>
    </row>
    <row r="18">
      <c r="A18" s="22" t="s">
        <v>245</v>
      </c>
      <c r="B18" s="22">
        <v>11.0</v>
      </c>
      <c r="E18" s="22" t="s">
        <v>274</v>
      </c>
      <c r="F18" s="22">
        <v>11.0</v>
      </c>
      <c r="I18" s="21"/>
      <c r="J18" s="21"/>
      <c r="M18" s="21"/>
      <c r="N18" s="21"/>
    </row>
    <row r="19">
      <c r="A19" s="22" t="s">
        <v>246</v>
      </c>
      <c r="B19" s="22">
        <v>12.0</v>
      </c>
      <c r="E19" s="22" t="s">
        <v>276</v>
      </c>
      <c r="F19" s="22">
        <v>12.0</v>
      </c>
      <c r="I19" s="21"/>
      <c r="J19" s="21"/>
      <c r="M19" s="21"/>
      <c r="N19" s="21"/>
    </row>
    <row r="20">
      <c r="A20" s="22" t="s">
        <v>247</v>
      </c>
      <c r="B20" s="22">
        <v>13.0</v>
      </c>
      <c r="E20" s="31" t="s">
        <v>296</v>
      </c>
      <c r="F20" s="32">
        <v>13.0</v>
      </c>
      <c r="G20" s="33" t="s">
        <v>297</v>
      </c>
      <c r="I20" s="21"/>
      <c r="J20" s="21"/>
    </row>
    <row r="21">
      <c r="A21" s="22" t="s">
        <v>248</v>
      </c>
      <c r="B21" s="22">
        <v>14.0</v>
      </c>
      <c r="E21" s="22" t="s">
        <v>298</v>
      </c>
      <c r="F21" s="22">
        <v>14.0</v>
      </c>
      <c r="G21" s="10" t="s">
        <v>299</v>
      </c>
      <c r="I21" s="21"/>
      <c r="J21" s="21"/>
    </row>
    <row r="22">
      <c r="A22" s="22" t="s">
        <v>249</v>
      </c>
      <c r="B22" s="22">
        <v>15.0</v>
      </c>
      <c r="E22" s="22" t="s">
        <v>300</v>
      </c>
      <c r="F22" s="22">
        <v>15.0</v>
      </c>
      <c r="G22" s="34" t="s">
        <v>301</v>
      </c>
      <c r="I22" s="21"/>
      <c r="J22" s="21"/>
    </row>
    <row r="23">
      <c r="A23" s="22" t="s">
        <v>250</v>
      </c>
      <c r="B23" s="22">
        <v>16.0</v>
      </c>
      <c r="E23" s="22" t="s">
        <v>302</v>
      </c>
      <c r="F23" s="22">
        <v>16.0</v>
      </c>
      <c r="G23" s="10" t="s">
        <v>303</v>
      </c>
      <c r="I23" s="21"/>
      <c r="J23" s="21"/>
    </row>
    <row r="24">
      <c r="A24" s="22" t="s">
        <v>251</v>
      </c>
      <c r="B24" s="22">
        <v>17.0</v>
      </c>
      <c r="E24" s="21"/>
      <c r="F24" s="21"/>
      <c r="I24" s="21"/>
      <c r="J24" s="21"/>
    </row>
    <row r="25">
      <c r="A25" s="22" t="s">
        <v>252</v>
      </c>
      <c r="B25" s="22">
        <v>18.0</v>
      </c>
      <c r="E25" s="21"/>
      <c r="F25" s="21"/>
      <c r="I25" s="21"/>
      <c r="J25" s="21"/>
    </row>
    <row r="26">
      <c r="A26" s="22" t="s">
        <v>253</v>
      </c>
      <c r="B26" s="22">
        <v>19.0</v>
      </c>
      <c r="E26" s="21"/>
      <c r="F26" s="21"/>
      <c r="I26" s="21"/>
      <c r="J26" s="21"/>
    </row>
    <row r="27">
      <c r="A27" s="22" t="s">
        <v>254</v>
      </c>
      <c r="B27" s="22">
        <v>20.0</v>
      </c>
      <c r="E27" s="21"/>
      <c r="F27" s="21"/>
      <c r="I27" s="21"/>
      <c r="J27" s="21"/>
    </row>
    <row r="28">
      <c r="A28" s="22" t="s">
        <v>255</v>
      </c>
      <c r="B28" s="22">
        <v>21.0</v>
      </c>
      <c r="E28" s="21"/>
      <c r="F28" s="21"/>
      <c r="I28" s="21"/>
      <c r="J28" s="21"/>
    </row>
    <row r="29">
      <c r="A29" s="22" t="s">
        <v>256</v>
      </c>
      <c r="B29" s="22">
        <v>22.0</v>
      </c>
      <c r="E29" s="21"/>
      <c r="F29" s="21"/>
      <c r="I29" s="21"/>
      <c r="J29" s="21"/>
    </row>
    <row r="30">
      <c r="A30" s="22" t="s">
        <v>257</v>
      </c>
      <c r="B30" s="22">
        <v>23.0</v>
      </c>
      <c r="E30" s="21"/>
      <c r="F30" s="21"/>
      <c r="I30" s="21"/>
      <c r="J30" s="21"/>
    </row>
    <row r="31">
      <c r="A31" s="22" t="s">
        <v>258</v>
      </c>
      <c r="B31" s="22">
        <v>24.0</v>
      </c>
      <c r="E31" s="21"/>
      <c r="F31" s="21"/>
      <c r="I31" s="21"/>
      <c r="J31" s="21"/>
    </row>
    <row r="32">
      <c r="A32" s="22" t="s">
        <v>259</v>
      </c>
      <c r="B32" s="22">
        <v>25.0</v>
      </c>
      <c r="E32" s="21"/>
      <c r="F32" s="21"/>
      <c r="I32" s="21"/>
      <c r="J32" s="21"/>
    </row>
    <row r="33">
      <c r="A33" s="22" t="s">
        <v>260</v>
      </c>
      <c r="B33" s="22">
        <v>26.0</v>
      </c>
      <c r="E33" s="21"/>
      <c r="F33" s="21"/>
      <c r="I33" s="21"/>
      <c r="J33" s="21"/>
    </row>
    <row r="34">
      <c r="A34" s="22" t="s">
        <v>261</v>
      </c>
      <c r="B34" s="22">
        <v>27.0</v>
      </c>
      <c r="E34" s="21"/>
      <c r="F34" s="21"/>
      <c r="I34" s="21"/>
      <c r="J34" s="21"/>
    </row>
    <row r="35">
      <c r="A35" s="22" t="s">
        <v>262</v>
      </c>
      <c r="B35" s="22">
        <v>28.0</v>
      </c>
      <c r="E35" s="21"/>
      <c r="F35" s="21"/>
      <c r="I35" s="21"/>
      <c r="J35" s="21"/>
    </row>
    <row r="36">
      <c r="A36" s="22" t="s">
        <v>264</v>
      </c>
      <c r="B36" s="22">
        <v>29.0</v>
      </c>
      <c r="E36" s="21"/>
      <c r="F36" s="21"/>
      <c r="I36" s="21"/>
      <c r="J36" s="21"/>
    </row>
    <row r="37">
      <c r="A37" s="22" t="s">
        <v>265</v>
      </c>
      <c r="B37" s="22">
        <v>30.0</v>
      </c>
      <c r="E37" s="21"/>
      <c r="F37" s="21"/>
      <c r="I37" s="21"/>
      <c r="J37" s="21"/>
    </row>
    <row r="38">
      <c r="A38" s="22" t="s">
        <v>266</v>
      </c>
      <c r="B38" s="22">
        <v>31.0</v>
      </c>
      <c r="E38" s="21"/>
      <c r="F38" s="21"/>
      <c r="I38" s="21"/>
      <c r="J38" s="21"/>
    </row>
    <row r="39">
      <c r="A39" s="22" t="s">
        <v>267</v>
      </c>
      <c r="B39" s="22">
        <v>32.0</v>
      </c>
      <c r="E39" s="21"/>
      <c r="F39" s="21"/>
      <c r="I39" s="21"/>
      <c r="J39" s="21"/>
    </row>
    <row r="40">
      <c r="A40" s="22" t="s">
        <v>268</v>
      </c>
      <c r="B40" s="22">
        <v>33.0</v>
      </c>
      <c r="E40" s="21"/>
      <c r="F40" s="21"/>
      <c r="I40" s="21"/>
      <c r="J40" s="21"/>
    </row>
    <row r="41">
      <c r="A41" s="22" t="s">
        <v>269</v>
      </c>
      <c r="B41" s="22">
        <v>34.0</v>
      </c>
      <c r="E41" s="21"/>
      <c r="F41" s="21"/>
      <c r="I41" s="21"/>
      <c r="J41" s="21"/>
    </row>
    <row r="42">
      <c r="A42" s="22" t="s">
        <v>270</v>
      </c>
      <c r="B42" s="22">
        <v>35.0</v>
      </c>
      <c r="E42" s="21"/>
      <c r="F42" s="21"/>
      <c r="I42" s="21"/>
      <c r="J42" s="21"/>
    </row>
    <row r="43">
      <c r="A43" s="22" t="s">
        <v>272</v>
      </c>
      <c r="B43" s="22">
        <v>36.0</v>
      </c>
      <c r="E43" s="21"/>
      <c r="F43" s="21"/>
      <c r="I43" s="21"/>
      <c r="J43" s="21"/>
    </row>
    <row r="44">
      <c r="A44" s="22" t="s">
        <v>273</v>
      </c>
      <c r="B44" s="22">
        <v>37.0</v>
      </c>
      <c r="E44" s="21"/>
      <c r="F44" s="21"/>
      <c r="I44" s="21"/>
      <c r="J44" s="21"/>
    </row>
    <row r="45">
      <c r="A45" s="22" t="s">
        <v>304</v>
      </c>
      <c r="B45" s="22">
        <v>38.0</v>
      </c>
      <c r="E45" s="21"/>
      <c r="F45" s="21"/>
      <c r="I45" s="21"/>
      <c r="J45" s="21"/>
    </row>
    <row r="46">
      <c r="A46" s="22" t="s">
        <v>278</v>
      </c>
      <c r="B46" s="22">
        <v>39.0</v>
      </c>
      <c r="E46" s="21"/>
      <c r="F46" s="21"/>
      <c r="I46" s="21"/>
      <c r="J46" s="21"/>
    </row>
    <row r="47">
      <c r="A47" s="22" t="s">
        <v>280</v>
      </c>
      <c r="B47" s="22">
        <v>40.0</v>
      </c>
      <c r="E47" s="21"/>
      <c r="F47" s="21"/>
      <c r="I47" s="21"/>
      <c r="J47" s="21"/>
    </row>
    <row r="48">
      <c r="A48" s="22" t="s">
        <v>282</v>
      </c>
      <c r="B48" s="22">
        <v>41.0</v>
      </c>
      <c r="E48" s="21"/>
      <c r="F48" s="21"/>
      <c r="I48" s="21"/>
      <c r="J48" s="21"/>
    </row>
    <row r="49">
      <c r="A49" s="22" t="s">
        <v>283</v>
      </c>
      <c r="B49" s="22">
        <v>42.0</v>
      </c>
      <c r="E49" s="21"/>
      <c r="F49" s="21"/>
      <c r="I49" s="21"/>
      <c r="J49" s="21"/>
    </row>
    <row r="50">
      <c r="A50" s="22" t="s">
        <v>284</v>
      </c>
      <c r="B50" s="22">
        <v>43.0</v>
      </c>
      <c r="E50" s="21"/>
      <c r="F50" s="21"/>
      <c r="I50" s="21"/>
      <c r="J50" s="21"/>
    </row>
    <row r="51">
      <c r="A51" s="22" t="s">
        <v>305</v>
      </c>
      <c r="B51" s="22">
        <v>44.0</v>
      </c>
      <c r="E51" s="21"/>
      <c r="F51" s="21"/>
      <c r="I51" s="21"/>
      <c r="J51" s="21"/>
    </row>
    <row r="52">
      <c r="A52" s="22" t="s">
        <v>306</v>
      </c>
      <c r="B52" s="22">
        <v>45.0</v>
      </c>
      <c r="E52" s="21"/>
      <c r="F52" s="21"/>
      <c r="I52" s="21"/>
      <c r="J52" s="21"/>
    </row>
    <row r="53">
      <c r="A53" s="22" t="s">
        <v>285</v>
      </c>
      <c r="B53" s="22">
        <v>46.0</v>
      </c>
      <c r="E53" s="21"/>
      <c r="F53" s="21"/>
      <c r="I53" s="21"/>
      <c r="J53" s="21"/>
    </row>
    <row r="54">
      <c r="A54" s="22"/>
      <c r="B54" s="22"/>
      <c r="E54" s="21"/>
      <c r="F54" s="21"/>
      <c r="I54" s="21"/>
      <c r="J54" s="21"/>
    </row>
    <row r="55">
      <c r="A55" s="22"/>
      <c r="B55" s="22"/>
      <c r="E55" s="21"/>
      <c r="F55" s="21"/>
      <c r="I55" s="21"/>
      <c r="J55" s="21"/>
    </row>
    <row r="56">
      <c r="A56" s="21"/>
      <c r="B56" s="21"/>
      <c r="E56" s="21"/>
      <c r="F56" s="21"/>
      <c r="I56" s="21"/>
      <c r="J56" s="21"/>
    </row>
    <row r="57">
      <c r="A57" s="21"/>
      <c r="B57" s="21"/>
      <c r="E57" s="21"/>
      <c r="F57" s="21"/>
      <c r="I57" s="21"/>
      <c r="J57" s="21"/>
    </row>
    <row r="58">
      <c r="A58" s="21"/>
      <c r="B58" s="21"/>
      <c r="E58" s="21"/>
      <c r="F58" s="21"/>
      <c r="I58" s="21"/>
      <c r="J58" s="21"/>
    </row>
    <row r="59">
      <c r="A59" s="21"/>
      <c r="B59" s="21"/>
      <c r="E59" s="21"/>
      <c r="F59" s="21"/>
      <c r="I59" s="21"/>
      <c r="J59" s="21"/>
    </row>
    <row r="60">
      <c r="A60" s="21"/>
      <c r="B60" s="21"/>
      <c r="E60" s="21"/>
      <c r="F60" s="21"/>
      <c r="I60" s="21"/>
      <c r="J60" s="21"/>
    </row>
    <row r="61">
      <c r="A61" s="21"/>
      <c r="B61" s="21"/>
      <c r="E61" s="21"/>
      <c r="F61" s="21"/>
      <c r="I61" s="21"/>
      <c r="J61" s="21"/>
    </row>
    <row r="62">
      <c r="A62" s="21"/>
      <c r="B62" s="21"/>
      <c r="E62" s="21"/>
      <c r="F62" s="21"/>
      <c r="I62" s="21"/>
      <c r="J62" s="21"/>
    </row>
    <row r="63">
      <c r="A63" s="21"/>
      <c r="B63" s="21"/>
      <c r="E63" s="21"/>
      <c r="F63" s="21"/>
      <c r="I63" s="21"/>
      <c r="J63" s="21"/>
    </row>
    <row r="64">
      <c r="A64" s="21"/>
      <c r="B64" s="21"/>
      <c r="E64" s="21"/>
      <c r="F64" s="21"/>
      <c r="I64" s="21"/>
      <c r="J64" s="21"/>
    </row>
    <row r="65">
      <c r="A65" s="21"/>
      <c r="B65" s="21"/>
      <c r="E65" s="21"/>
      <c r="F65" s="21"/>
      <c r="I65" s="21"/>
      <c r="J65" s="21"/>
    </row>
    <row r="66">
      <c r="A66" s="21"/>
      <c r="B66" s="21"/>
      <c r="E66" s="21"/>
      <c r="F66" s="21"/>
      <c r="I66" s="21"/>
      <c r="J66" s="21"/>
    </row>
    <row r="67">
      <c r="A67" s="21"/>
      <c r="B67" s="21"/>
      <c r="E67" s="21"/>
      <c r="F67" s="21"/>
      <c r="I67" s="21"/>
      <c r="J67" s="21"/>
    </row>
    <row r="68">
      <c r="A68" s="21"/>
      <c r="B68" s="21"/>
      <c r="E68" s="21"/>
      <c r="F68" s="21"/>
      <c r="I68" s="21"/>
      <c r="J68" s="21"/>
    </row>
    <row r="69">
      <c r="A69" s="21"/>
      <c r="B69" s="21"/>
      <c r="E69" s="21"/>
      <c r="F69" s="21"/>
      <c r="I69" s="21"/>
      <c r="J69" s="21"/>
    </row>
    <row r="70">
      <c r="A70" s="21"/>
      <c r="B70" s="21"/>
      <c r="E70" s="21"/>
      <c r="F70" s="21"/>
      <c r="I70" s="21"/>
      <c r="J70" s="21"/>
    </row>
    <row r="71">
      <c r="A71" s="21"/>
      <c r="B71" s="21"/>
      <c r="E71" s="21"/>
      <c r="F71" s="21"/>
      <c r="I71" s="21"/>
      <c r="J71" s="21"/>
    </row>
    <row r="72">
      <c r="A72" s="21"/>
      <c r="B72" s="21"/>
      <c r="E72" s="21"/>
      <c r="F72" s="21"/>
      <c r="I72" s="21"/>
      <c r="J72" s="21"/>
    </row>
    <row r="73">
      <c r="A73" s="21"/>
      <c r="B73" s="21"/>
      <c r="E73" s="21"/>
      <c r="F73" s="21"/>
      <c r="I73" s="21"/>
      <c r="J73" s="21"/>
    </row>
    <row r="74">
      <c r="A74" s="21"/>
      <c r="B74" s="21"/>
      <c r="E74" s="21"/>
      <c r="F74" s="21"/>
      <c r="I74" s="21"/>
      <c r="J74" s="21"/>
    </row>
    <row r="75">
      <c r="A75" s="21"/>
      <c r="B75" s="21"/>
      <c r="E75" s="21"/>
      <c r="F75" s="21"/>
      <c r="I75" s="21"/>
      <c r="J75" s="21"/>
    </row>
    <row r="76">
      <c r="A76" s="21"/>
      <c r="B76" s="21"/>
      <c r="E76" s="21"/>
      <c r="F76" s="21"/>
      <c r="I76" s="21"/>
      <c r="J76" s="21"/>
    </row>
    <row r="77">
      <c r="A77" s="21"/>
      <c r="B77" s="21"/>
      <c r="E77" s="21"/>
      <c r="F77" s="21"/>
      <c r="I77" s="21"/>
      <c r="J77" s="21"/>
    </row>
    <row r="78">
      <c r="A78" s="21"/>
      <c r="B78" s="21"/>
      <c r="E78" s="21"/>
      <c r="F78" s="21"/>
      <c r="I78" s="21"/>
      <c r="J78" s="21"/>
    </row>
    <row r="79">
      <c r="A79" s="21"/>
      <c r="B79" s="21"/>
      <c r="E79" s="21"/>
      <c r="F79" s="21"/>
      <c r="I79" s="21"/>
      <c r="J79" s="21"/>
    </row>
    <row r="80">
      <c r="A80" s="21"/>
      <c r="B80" s="21"/>
      <c r="E80" s="21"/>
      <c r="F80" s="21"/>
      <c r="I80" s="21"/>
      <c r="J80" s="21"/>
    </row>
    <row r="81">
      <c r="A81" s="21"/>
      <c r="B81" s="21"/>
      <c r="E81" s="21"/>
      <c r="F81" s="21"/>
      <c r="I81" s="21"/>
      <c r="J81" s="21"/>
    </row>
    <row r="82">
      <c r="A82" s="21"/>
      <c r="B82" s="21"/>
      <c r="E82" s="21"/>
      <c r="F82" s="21"/>
      <c r="I82" s="21"/>
      <c r="J82" s="21"/>
    </row>
    <row r="83">
      <c r="A83" s="21"/>
      <c r="B83" s="21"/>
      <c r="E83" s="21"/>
      <c r="F83" s="21"/>
      <c r="I83" s="21"/>
      <c r="J83" s="21"/>
    </row>
    <row r="84">
      <c r="A84" s="21"/>
      <c r="B84" s="21"/>
      <c r="E84" s="21"/>
      <c r="F84" s="21"/>
      <c r="I84" s="21"/>
      <c r="J84" s="21"/>
    </row>
    <row r="85">
      <c r="A85" s="21"/>
      <c r="B85" s="21"/>
      <c r="E85" s="21"/>
      <c r="F85" s="21"/>
      <c r="I85" s="21"/>
      <c r="J85" s="21"/>
    </row>
    <row r="86">
      <c r="A86" s="21"/>
      <c r="B86" s="21"/>
      <c r="E86" s="21"/>
      <c r="F86" s="21"/>
      <c r="I86" s="21"/>
      <c r="J86" s="21"/>
    </row>
    <row r="87">
      <c r="A87" s="21"/>
      <c r="B87" s="21"/>
      <c r="E87" s="21"/>
      <c r="F87" s="21"/>
      <c r="I87" s="21"/>
      <c r="J87" s="21"/>
    </row>
    <row r="88">
      <c r="A88" s="21"/>
      <c r="B88" s="21"/>
      <c r="E88" s="21"/>
      <c r="F88" s="21"/>
      <c r="I88" s="21"/>
      <c r="J88" s="21"/>
    </row>
    <row r="89">
      <c r="A89" s="21"/>
      <c r="B89" s="21"/>
      <c r="E89" s="21"/>
      <c r="F89" s="21"/>
      <c r="I89" s="21"/>
      <c r="J89" s="21"/>
    </row>
    <row r="90">
      <c r="A90" s="21"/>
      <c r="B90" s="21"/>
      <c r="E90" s="21"/>
      <c r="F90" s="21"/>
      <c r="I90" s="21"/>
      <c r="J90" s="21"/>
    </row>
    <row r="91">
      <c r="A91" s="21"/>
      <c r="B91" s="21"/>
      <c r="E91" s="21"/>
      <c r="F91" s="21"/>
      <c r="I91" s="21"/>
      <c r="J91" s="21"/>
    </row>
    <row r="92">
      <c r="A92" s="21"/>
      <c r="B92" s="21"/>
      <c r="E92" s="21"/>
      <c r="F92" s="21"/>
      <c r="I92" s="21"/>
      <c r="J92" s="21"/>
    </row>
    <row r="93">
      <c r="A93" s="21"/>
      <c r="B93" s="21"/>
      <c r="E93" s="21"/>
      <c r="F93" s="21"/>
      <c r="I93" s="21"/>
      <c r="J93" s="21"/>
    </row>
    <row r="94">
      <c r="A94" s="21"/>
      <c r="B94" s="21"/>
      <c r="E94" s="21"/>
      <c r="F94" s="21"/>
      <c r="I94" s="21"/>
      <c r="J94" s="21"/>
    </row>
    <row r="95">
      <c r="A95" s="21"/>
      <c r="B95" s="21"/>
      <c r="E95" s="21"/>
      <c r="F95" s="21"/>
      <c r="I95" s="21"/>
      <c r="J95" s="21"/>
    </row>
    <row r="96">
      <c r="A96" s="21"/>
      <c r="B96" s="21"/>
      <c r="E96" s="21"/>
      <c r="F96" s="21"/>
      <c r="I96" s="21"/>
      <c r="J96" s="21"/>
    </row>
    <row r="97">
      <c r="A97" s="21"/>
      <c r="B97" s="21"/>
      <c r="E97" s="21"/>
      <c r="F97" s="21"/>
      <c r="I97" s="21"/>
      <c r="J97" s="21"/>
    </row>
    <row r="98">
      <c r="A98" s="21"/>
      <c r="B98" s="21"/>
      <c r="E98" s="21"/>
      <c r="F98" s="21"/>
      <c r="I98" s="21"/>
      <c r="J98" s="2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86"/>
    <col customWidth="1" min="4" max="4" width="18.14"/>
    <col customWidth="1" min="5" max="5" width="22.71"/>
    <col customWidth="1" min="6" max="6" width="22.29"/>
    <col customWidth="1" min="7" max="8" width="31.57"/>
    <col customWidth="1" min="9" max="9" width="24.71"/>
    <col customWidth="1" min="10" max="10" width="30.57"/>
    <col customWidth="1" min="11" max="11" width="18.86"/>
    <col customWidth="1" min="12" max="12" width="30.29"/>
    <col customWidth="1" min="13" max="13" width="19.86"/>
    <col customWidth="1" min="14" max="14" width="16.43"/>
    <col customWidth="1" min="16" max="16" width="19.86"/>
  </cols>
  <sheetData>
    <row r="1">
      <c r="B1" s="35" t="s">
        <v>224</v>
      </c>
      <c r="C1" s="35" t="s">
        <v>307</v>
      </c>
      <c r="D1" s="35" t="s">
        <v>308</v>
      </c>
      <c r="E1" s="35" t="s">
        <v>309</v>
      </c>
      <c r="F1" s="35" t="s">
        <v>310</v>
      </c>
      <c r="G1" s="35" t="s">
        <v>311</v>
      </c>
      <c r="H1" s="35" t="s">
        <v>312</v>
      </c>
      <c r="I1" s="10" t="s">
        <v>313</v>
      </c>
      <c r="J1" s="10" t="s">
        <v>314</v>
      </c>
      <c r="K1" s="10" t="s">
        <v>315</v>
      </c>
      <c r="L1" s="10" t="s">
        <v>316</v>
      </c>
      <c r="M1" s="10" t="s">
        <v>290</v>
      </c>
      <c r="N1" s="10" t="s">
        <v>317</v>
      </c>
      <c r="O1" s="10" t="s">
        <v>318</v>
      </c>
      <c r="P1" s="10" t="s">
        <v>319</v>
      </c>
    </row>
    <row r="2">
      <c r="A2" s="10" t="s">
        <v>320</v>
      </c>
      <c r="B2" s="36">
        <v>10001.0</v>
      </c>
      <c r="C2" s="15" t="s">
        <v>21</v>
      </c>
      <c r="D2" s="36"/>
      <c r="E2" s="36" t="s">
        <v>321</v>
      </c>
      <c r="F2" s="15"/>
      <c r="G2" s="36" t="s">
        <v>322</v>
      </c>
      <c r="H2" s="36"/>
      <c r="I2" s="10" t="s">
        <v>323</v>
      </c>
      <c r="J2" s="10"/>
      <c r="K2" s="10" t="s">
        <v>322</v>
      </c>
      <c r="L2" s="10" t="s">
        <v>324</v>
      </c>
      <c r="M2" s="10" t="s">
        <v>325</v>
      </c>
      <c r="N2" s="10" t="s">
        <v>326</v>
      </c>
      <c r="O2" s="10" t="s">
        <v>327</v>
      </c>
      <c r="P2" s="10" t="s">
        <v>328</v>
      </c>
    </row>
    <row r="3">
      <c r="B3" s="15">
        <f t="shared" ref="B3:B51" si="1">B2+1</f>
        <v>10002</v>
      </c>
      <c r="C3" s="15" t="s">
        <v>25</v>
      </c>
      <c r="D3" s="36"/>
      <c r="E3" s="36" t="s">
        <v>329</v>
      </c>
      <c r="F3" s="15"/>
      <c r="G3" s="37" t="s">
        <v>330</v>
      </c>
      <c r="H3" s="15"/>
      <c r="J3" s="10"/>
      <c r="K3" s="10" t="s">
        <v>331</v>
      </c>
      <c r="L3" s="10" t="s">
        <v>332</v>
      </c>
      <c r="M3" s="10" t="s">
        <v>333</v>
      </c>
      <c r="N3" s="10" t="s">
        <v>334</v>
      </c>
      <c r="O3" s="10" t="s">
        <v>335</v>
      </c>
      <c r="P3" s="10" t="s">
        <v>336</v>
      </c>
    </row>
    <row r="4">
      <c r="B4" s="15">
        <f t="shared" si="1"/>
        <v>10003</v>
      </c>
      <c r="C4" s="15" t="s">
        <v>27</v>
      </c>
      <c r="D4" s="36"/>
      <c r="E4" s="36" t="s">
        <v>329</v>
      </c>
      <c r="F4" s="15"/>
      <c r="G4" s="38" t="s">
        <v>330</v>
      </c>
      <c r="H4" s="36" t="s">
        <v>337</v>
      </c>
      <c r="J4" s="10"/>
      <c r="K4" s="10" t="s">
        <v>338</v>
      </c>
      <c r="L4" s="10" t="s">
        <v>339</v>
      </c>
      <c r="M4" s="10" t="s">
        <v>340</v>
      </c>
      <c r="N4" s="10" t="s">
        <v>341</v>
      </c>
      <c r="O4" s="10" t="s">
        <v>342</v>
      </c>
      <c r="P4" s="10" t="s">
        <v>343</v>
      </c>
    </row>
    <row r="5">
      <c r="B5" s="39">
        <f t="shared" si="1"/>
        <v>10004</v>
      </c>
      <c r="C5" s="39" t="s">
        <v>29</v>
      </c>
      <c r="D5" s="40" t="s">
        <v>344</v>
      </c>
      <c r="E5" s="40" t="s">
        <v>345</v>
      </c>
      <c r="F5" s="39"/>
      <c r="G5" s="40" t="s">
        <v>331</v>
      </c>
      <c r="H5" s="40"/>
      <c r="I5" s="10" t="s">
        <v>346</v>
      </c>
      <c r="J5" s="10"/>
      <c r="K5" s="10" t="s">
        <v>337</v>
      </c>
      <c r="L5" s="10" t="s">
        <v>337</v>
      </c>
      <c r="O5" s="10" t="s">
        <v>347</v>
      </c>
    </row>
    <row r="6">
      <c r="B6" s="39">
        <f t="shared" si="1"/>
        <v>10005</v>
      </c>
      <c r="C6" s="39" t="s">
        <v>32</v>
      </c>
      <c r="D6" s="40" t="s">
        <v>348</v>
      </c>
      <c r="E6" s="40" t="s">
        <v>345</v>
      </c>
      <c r="F6" s="39"/>
      <c r="G6" s="41" t="s">
        <v>330</v>
      </c>
      <c r="H6" s="39"/>
    </row>
    <row r="7">
      <c r="B7" s="39">
        <f t="shared" si="1"/>
        <v>10006</v>
      </c>
      <c r="C7" s="39" t="s">
        <v>33</v>
      </c>
      <c r="D7" s="40" t="s">
        <v>349</v>
      </c>
      <c r="E7" s="40" t="s">
        <v>345</v>
      </c>
      <c r="F7" s="39"/>
      <c r="G7" s="41" t="s">
        <v>330</v>
      </c>
      <c r="H7" s="40" t="s">
        <v>322</v>
      </c>
    </row>
    <row r="8">
      <c r="B8" s="42">
        <f t="shared" si="1"/>
        <v>10007</v>
      </c>
      <c r="C8" s="42" t="s">
        <v>35</v>
      </c>
      <c r="D8" s="43" t="s">
        <v>344</v>
      </c>
      <c r="E8" s="43" t="s">
        <v>350</v>
      </c>
      <c r="F8" s="42"/>
      <c r="G8" s="43" t="s">
        <v>338</v>
      </c>
      <c r="H8" s="43"/>
      <c r="I8" s="10" t="s">
        <v>351</v>
      </c>
    </row>
    <row r="9">
      <c r="B9" s="42">
        <f t="shared" si="1"/>
        <v>10008</v>
      </c>
      <c r="C9" s="42" t="s">
        <v>38</v>
      </c>
      <c r="D9" s="43" t="s">
        <v>348</v>
      </c>
      <c r="E9" s="43" t="s">
        <v>350</v>
      </c>
      <c r="F9" s="42"/>
      <c r="G9" s="44" t="s">
        <v>330</v>
      </c>
      <c r="H9" s="42"/>
    </row>
    <row r="10">
      <c r="B10" s="42">
        <f t="shared" si="1"/>
        <v>10009</v>
      </c>
      <c r="C10" s="42" t="s">
        <v>39</v>
      </c>
      <c r="D10" s="43" t="s">
        <v>349</v>
      </c>
      <c r="E10" s="43" t="s">
        <v>350</v>
      </c>
      <c r="F10" s="42"/>
      <c r="G10" s="44" t="s">
        <v>330</v>
      </c>
      <c r="H10" s="43" t="s">
        <v>322</v>
      </c>
    </row>
    <row r="11">
      <c r="B11" s="39">
        <f t="shared" si="1"/>
        <v>10010</v>
      </c>
      <c r="C11" s="40" t="s">
        <v>352</v>
      </c>
      <c r="D11" s="40"/>
      <c r="E11" s="40" t="s">
        <v>353</v>
      </c>
      <c r="F11" s="39"/>
      <c r="G11" s="40" t="s">
        <v>331</v>
      </c>
      <c r="H11" s="40"/>
    </row>
    <row r="12">
      <c r="B12" s="39">
        <f t="shared" si="1"/>
        <v>10011</v>
      </c>
      <c r="C12" s="40" t="s">
        <v>354</v>
      </c>
      <c r="D12" s="40"/>
      <c r="E12" s="40" t="s">
        <v>353</v>
      </c>
      <c r="F12" s="39"/>
      <c r="G12" s="40" t="s">
        <v>338</v>
      </c>
      <c r="H12" s="40"/>
    </row>
    <row r="13">
      <c r="B13" s="45">
        <f t="shared" si="1"/>
        <v>10012</v>
      </c>
      <c r="C13" s="46" t="s">
        <v>46</v>
      </c>
      <c r="D13" s="46" t="s">
        <v>344</v>
      </c>
      <c r="E13" s="46" t="s">
        <v>323</v>
      </c>
      <c r="F13" s="45"/>
      <c r="G13" s="46" t="s">
        <v>338</v>
      </c>
      <c r="H13" s="46"/>
      <c r="I13" s="10" t="s">
        <v>355</v>
      </c>
    </row>
    <row r="14">
      <c r="B14" s="45">
        <f t="shared" si="1"/>
        <v>10013</v>
      </c>
      <c r="C14" s="46" t="s">
        <v>49</v>
      </c>
      <c r="D14" s="46" t="s">
        <v>348</v>
      </c>
      <c r="E14" s="45"/>
      <c r="F14" s="45"/>
      <c r="G14" s="47" t="s">
        <v>330</v>
      </c>
      <c r="H14" s="45"/>
    </row>
    <row r="15">
      <c r="B15" s="45">
        <f t="shared" si="1"/>
        <v>10014</v>
      </c>
      <c r="C15" s="46" t="s">
        <v>50</v>
      </c>
      <c r="D15" s="46" t="s">
        <v>349</v>
      </c>
      <c r="E15" s="45"/>
      <c r="F15" s="45"/>
      <c r="G15" s="47" t="s">
        <v>330</v>
      </c>
      <c r="H15" s="46" t="s">
        <v>331</v>
      </c>
    </row>
    <row r="16">
      <c r="B16" s="39">
        <f t="shared" si="1"/>
        <v>10015</v>
      </c>
      <c r="C16" s="40" t="s">
        <v>52</v>
      </c>
      <c r="D16" s="39"/>
      <c r="E16" s="40" t="s">
        <v>356</v>
      </c>
      <c r="F16" s="39"/>
      <c r="G16" s="40" t="s">
        <v>337</v>
      </c>
      <c r="H16" s="40"/>
      <c r="I16" s="10" t="s">
        <v>357</v>
      </c>
    </row>
    <row r="17">
      <c r="B17" s="39">
        <f t="shared" si="1"/>
        <v>10016</v>
      </c>
      <c r="C17" s="40" t="s">
        <v>55</v>
      </c>
      <c r="D17" s="39"/>
      <c r="E17" s="39"/>
      <c r="F17" s="39"/>
      <c r="G17" s="48" t="s">
        <v>330</v>
      </c>
      <c r="H17" s="40" t="s">
        <v>358</v>
      </c>
      <c r="K17" s="10" t="s">
        <v>322</v>
      </c>
    </row>
    <row r="18">
      <c r="B18" s="42">
        <f t="shared" si="1"/>
        <v>10017</v>
      </c>
      <c r="C18" s="43" t="s">
        <v>57</v>
      </c>
      <c r="D18" s="42"/>
      <c r="E18" s="43" t="s">
        <v>359</v>
      </c>
      <c r="F18" s="42"/>
      <c r="G18" s="43" t="s">
        <v>337</v>
      </c>
      <c r="H18" s="49"/>
      <c r="I18" s="10" t="s">
        <v>360</v>
      </c>
      <c r="K18" s="10" t="s">
        <v>331</v>
      </c>
    </row>
    <row r="19">
      <c r="B19" s="42">
        <f t="shared" si="1"/>
        <v>10018</v>
      </c>
      <c r="C19" s="43" t="s">
        <v>60</v>
      </c>
      <c r="D19" s="42"/>
      <c r="E19" s="42"/>
      <c r="F19" s="42"/>
      <c r="G19" s="44" t="s">
        <v>330</v>
      </c>
      <c r="H19" s="43" t="s">
        <v>358</v>
      </c>
      <c r="K19" s="10" t="s">
        <v>338</v>
      </c>
    </row>
    <row r="20">
      <c r="B20" s="50">
        <f t="shared" si="1"/>
        <v>10019</v>
      </c>
      <c r="C20" s="51" t="s">
        <v>62</v>
      </c>
      <c r="D20" s="50"/>
      <c r="E20" s="50"/>
      <c r="F20" s="50"/>
      <c r="G20" s="51" t="s">
        <v>337</v>
      </c>
      <c r="H20" s="51"/>
      <c r="I20" s="10" t="s">
        <v>64</v>
      </c>
      <c r="K20" s="10" t="s">
        <v>337</v>
      </c>
    </row>
    <row r="21">
      <c r="B21" s="45">
        <f t="shared" si="1"/>
        <v>10020</v>
      </c>
      <c r="C21" s="46" t="s">
        <v>64</v>
      </c>
      <c r="D21" s="45"/>
      <c r="E21" s="45"/>
      <c r="F21" s="45"/>
      <c r="G21" s="46" t="s">
        <v>337</v>
      </c>
      <c r="H21" s="46"/>
      <c r="I21" s="10" t="s">
        <v>62</v>
      </c>
    </row>
    <row r="22">
      <c r="B22" s="52">
        <f t="shared" si="1"/>
        <v>10021</v>
      </c>
      <c r="C22" s="53" t="s">
        <v>66</v>
      </c>
      <c r="D22" s="52"/>
      <c r="E22" s="52"/>
      <c r="F22" s="52"/>
      <c r="G22" s="53" t="s">
        <v>337</v>
      </c>
      <c r="H22" s="53"/>
    </row>
    <row r="23">
      <c r="B23" s="54">
        <f t="shared" si="1"/>
        <v>10022</v>
      </c>
      <c r="C23" s="55" t="s">
        <v>68</v>
      </c>
      <c r="D23" s="54"/>
      <c r="E23" s="54"/>
      <c r="F23" s="54"/>
      <c r="G23" s="55" t="s">
        <v>331</v>
      </c>
      <c r="H23" s="55"/>
      <c r="I23" s="10" t="s">
        <v>70</v>
      </c>
    </row>
    <row r="24">
      <c r="B24" s="56">
        <f t="shared" si="1"/>
        <v>10023</v>
      </c>
      <c r="C24" s="57" t="s">
        <v>70</v>
      </c>
      <c r="D24" s="56"/>
      <c r="E24" s="56"/>
      <c r="F24" s="56"/>
      <c r="G24" s="57" t="s">
        <v>338</v>
      </c>
      <c r="H24" s="57"/>
      <c r="I24" s="10" t="s">
        <v>68</v>
      </c>
    </row>
    <row r="25">
      <c r="B25" s="11">
        <f t="shared" si="1"/>
        <v>10024</v>
      </c>
      <c r="C25" s="58" t="s">
        <v>72</v>
      </c>
      <c r="D25" s="11"/>
      <c r="E25" s="11"/>
      <c r="F25" s="11"/>
      <c r="G25" s="58" t="s">
        <v>322</v>
      </c>
      <c r="H25" s="58" t="s">
        <v>338</v>
      </c>
      <c r="I25" s="10" t="s">
        <v>74</v>
      </c>
    </row>
    <row r="26">
      <c r="B26" s="39">
        <f t="shared" si="1"/>
        <v>10025</v>
      </c>
      <c r="C26" s="40" t="s">
        <v>74</v>
      </c>
      <c r="D26" s="39"/>
      <c r="E26" s="39"/>
      <c r="F26" s="39"/>
      <c r="G26" s="40" t="s">
        <v>322</v>
      </c>
      <c r="H26" s="40" t="s">
        <v>331</v>
      </c>
      <c r="I26" s="10" t="s">
        <v>72</v>
      </c>
    </row>
    <row r="27">
      <c r="B27" s="3">
        <f t="shared" si="1"/>
        <v>10026</v>
      </c>
      <c r="C27" s="1" t="s">
        <v>361</v>
      </c>
      <c r="D27" s="3"/>
      <c r="E27" s="3"/>
      <c r="F27" s="3"/>
      <c r="G27" s="1" t="s">
        <v>331</v>
      </c>
      <c r="H27" s="1"/>
    </row>
    <row r="28">
      <c r="B28" s="15">
        <f t="shared" si="1"/>
        <v>10027</v>
      </c>
      <c r="C28" s="36" t="s">
        <v>78</v>
      </c>
      <c r="D28" s="36" t="s">
        <v>344</v>
      </c>
      <c r="E28" s="36" t="s">
        <v>362</v>
      </c>
      <c r="F28" s="15"/>
      <c r="G28" s="36" t="s">
        <v>331</v>
      </c>
      <c r="H28" s="36"/>
    </row>
    <row r="29">
      <c r="B29" s="15">
        <f t="shared" si="1"/>
        <v>10028</v>
      </c>
      <c r="C29" s="36" t="s">
        <v>80</v>
      </c>
      <c r="D29" s="36" t="s">
        <v>348</v>
      </c>
      <c r="E29" s="36" t="s">
        <v>362</v>
      </c>
      <c r="F29" s="15"/>
      <c r="G29" s="59" t="s">
        <v>330</v>
      </c>
      <c r="H29" s="15"/>
    </row>
    <row r="30">
      <c r="B30" s="15">
        <f t="shared" si="1"/>
        <v>10029</v>
      </c>
      <c r="C30" s="36" t="s">
        <v>81</v>
      </c>
      <c r="D30" s="36" t="s">
        <v>349</v>
      </c>
      <c r="E30" s="36" t="s">
        <v>362</v>
      </c>
      <c r="F30" s="15"/>
      <c r="G30" s="59" t="s">
        <v>330</v>
      </c>
      <c r="H30" s="36" t="s">
        <v>322</v>
      </c>
    </row>
    <row r="31">
      <c r="B31" s="3">
        <f t="shared" si="1"/>
        <v>10030</v>
      </c>
      <c r="C31" s="1" t="s">
        <v>83</v>
      </c>
      <c r="D31" s="1" t="s">
        <v>344</v>
      </c>
      <c r="E31" s="1" t="s">
        <v>363</v>
      </c>
      <c r="F31" s="3"/>
      <c r="G31" s="1" t="s">
        <v>322</v>
      </c>
      <c r="H31" s="1"/>
    </row>
    <row r="32">
      <c r="B32" s="3">
        <f t="shared" si="1"/>
        <v>10031</v>
      </c>
      <c r="C32" s="1" t="s">
        <v>85</v>
      </c>
      <c r="D32" s="1" t="s">
        <v>348</v>
      </c>
      <c r="E32" s="1" t="s">
        <v>363</v>
      </c>
      <c r="F32" s="3"/>
      <c r="G32" s="60" t="s">
        <v>330</v>
      </c>
      <c r="H32" s="3"/>
    </row>
    <row r="33">
      <c r="B33" s="3">
        <f t="shared" si="1"/>
        <v>10032</v>
      </c>
      <c r="C33" s="1" t="s">
        <v>86</v>
      </c>
      <c r="D33" s="1" t="s">
        <v>349</v>
      </c>
      <c r="E33" s="1" t="s">
        <v>363</v>
      </c>
      <c r="F33" s="3"/>
      <c r="G33" s="60" t="s">
        <v>330</v>
      </c>
      <c r="H33" s="1" t="s">
        <v>358</v>
      </c>
    </row>
    <row r="34">
      <c r="B34" s="52">
        <f t="shared" si="1"/>
        <v>10033</v>
      </c>
      <c r="C34" s="53" t="s">
        <v>88</v>
      </c>
      <c r="D34" s="53" t="s">
        <v>344</v>
      </c>
      <c r="E34" s="52"/>
      <c r="F34" s="52"/>
      <c r="G34" s="53" t="s">
        <v>338</v>
      </c>
      <c r="H34" s="53"/>
      <c r="I34" s="10" t="s">
        <v>364</v>
      </c>
    </row>
    <row r="35">
      <c r="B35" s="52">
        <f t="shared" si="1"/>
        <v>10034</v>
      </c>
      <c r="C35" s="53" t="s">
        <v>90</v>
      </c>
      <c r="D35" s="53" t="s">
        <v>348</v>
      </c>
      <c r="E35" s="52"/>
      <c r="F35" s="52"/>
      <c r="G35" s="61" t="s">
        <v>330</v>
      </c>
      <c r="H35" s="52"/>
    </row>
    <row r="36">
      <c r="B36" s="52">
        <f t="shared" si="1"/>
        <v>10035</v>
      </c>
      <c r="C36" s="53" t="s">
        <v>91</v>
      </c>
      <c r="D36" s="53" t="s">
        <v>349</v>
      </c>
      <c r="E36" s="52"/>
      <c r="F36" s="52"/>
      <c r="G36" s="61" t="s">
        <v>330</v>
      </c>
      <c r="H36" s="53" t="s">
        <v>331</v>
      </c>
      <c r="K36" s="10" t="s">
        <v>365</v>
      </c>
      <c r="L36" s="10" t="s">
        <v>366</v>
      </c>
    </row>
    <row r="37">
      <c r="B37" s="62">
        <f t="shared" si="1"/>
        <v>10036</v>
      </c>
      <c r="C37" s="63" t="s">
        <v>367</v>
      </c>
      <c r="D37" s="62"/>
      <c r="E37" s="63" t="s">
        <v>368</v>
      </c>
      <c r="F37" s="62"/>
      <c r="G37" s="63" t="s">
        <v>331</v>
      </c>
      <c r="H37" s="63"/>
      <c r="I37" s="10" t="s">
        <v>369</v>
      </c>
      <c r="K37" s="10" t="s">
        <v>370</v>
      </c>
      <c r="L37" s="9">
        <f>COUNTIF($G$2:$G$47,"파워")</f>
        <v>6</v>
      </c>
    </row>
    <row r="38">
      <c r="B38" s="62">
        <f t="shared" si="1"/>
        <v>10037</v>
      </c>
      <c r="C38" s="63" t="s">
        <v>371</v>
      </c>
      <c r="D38" s="62"/>
      <c r="E38" s="63" t="s">
        <v>372</v>
      </c>
      <c r="F38" s="62"/>
      <c r="G38" s="64" t="s">
        <v>330</v>
      </c>
      <c r="H38" s="63"/>
      <c r="K38" s="10" t="s">
        <v>373</v>
      </c>
      <c r="L38" s="9">
        <f>COUNTIF($G$2:$G$47,"컨택")</f>
        <v>6</v>
      </c>
    </row>
    <row r="39">
      <c r="B39" s="65">
        <f t="shared" si="1"/>
        <v>10038</v>
      </c>
      <c r="C39" s="66" t="s">
        <v>97</v>
      </c>
      <c r="D39" s="66" t="s">
        <v>344</v>
      </c>
      <c r="E39" s="65"/>
      <c r="F39" s="65"/>
      <c r="G39" s="66" t="s">
        <v>322</v>
      </c>
      <c r="H39" s="66"/>
      <c r="K39" s="10" t="s">
        <v>374</v>
      </c>
      <c r="L39" s="9">
        <f>COUNTIF($G$2:$G$47,"선구")</f>
        <v>6</v>
      </c>
    </row>
    <row r="40">
      <c r="B40" s="65">
        <f t="shared" si="1"/>
        <v>10039</v>
      </c>
      <c r="C40" s="66" t="s">
        <v>99</v>
      </c>
      <c r="D40" s="66" t="s">
        <v>348</v>
      </c>
      <c r="E40" s="65"/>
      <c r="F40" s="65"/>
      <c r="G40" s="67" t="s">
        <v>330</v>
      </c>
      <c r="H40" s="65"/>
      <c r="K40" s="10" t="s">
        <v>375</v>
      </c>
      <c r="L40" s="9">
        <f>COUNTIF($G$2:$G$47,"타구속도")</f>
        <v>6</v>
      </c>
    </row>
    <row r="41">
      <c r="B41" s="65">
        <f t="shared" si="1"/>
        <v>10040</v>
      </c>
      <c r="C41" s="66" t="s">
        <v>100</v>
      </c>
      <c r="D41" s="66" t="s">
        <v>349</v>
      </c>
      <c r="E41" s="65"/>
      <c r="F41" s="65"/>
      <c r="G41" s="67" t="s">
        <v>330</v>
      </c>
      <c r="H41" s="66" t="s">
        <v>338</v>
      </c>
      <c r="K41" s="10" t="s">
        <v>376</v>
      </c>
      <c r="L41" s="68">
        <f>COUNTIF($H$2:$H$47,"파워")</f>
        <v>2</v>
      </c>
    </row>
    <row r="42">
      <c r="B42" s="3">
        <f t="shared" si="1"/>
        <v>10041</v>
      </c>
      <c r="C42" s="1" t="s">
        <v>102</v>
      </c>
      <c r="D42" s="3"/>
      <c r="E42" s="3"/>
      <c r="F42" s="3"/>
      <c r="G42" s="1" t="s">
        <v>337</v>
      </c>
      <c r="H42" s="1"/>
      <c r="K42" s="10" t="s">
        <v>377</v>
      </c>
      <c r="L42" s="68">
        <f>COUNTIF($H$2:$H$47,"컨택")</f>
        <v>3</v>
      </c>
    </row>
    <row r="43">
      <c r="B43" s="69">
        <f t="shared" si="1"/>
        <v>10042</v>
      </c>
      <c r="C43" s="70" t="s">
        <v>378</v>
      </c>
      <c r="D43" s="69"/>
      <c r="E43" s="70" t="s">
        <v>379</v>
      </c>
      <c r="F43" s="69"/>
      <c r="G43" s="70" t="s">
        <v>338</v>
      </c>
      <c r="H43" s="70"/>
      <c r="I43" s="10" t="s">
        <v>380</v>
      </c>
      <c r="K43" s="10" t="s">
        <v>381</v>
      </c>
      <c r="L43" s="68">
        <f>COUNTIF($H$2:$H$47,"선구")</f>
        <v>3</v>
      </c>
    </row>
    <row r="44">
      <c r="B44" s="69">
        <f t="shared" si="1"/>
        <v>10043</v>
      </c>
      <c r="C44" s="70" t="s">
        <v>382</v>
      </c>
      <c r="D44" s="69"/>
      <c r="E44" s="70" t="s">
        <v>383</v>
      </c>
      <c r="F44" s="69"/>
      <c r="G44" s="71" t="s">
        <v>330</v>
      </c>
      <c r="H44" s="70"/>
      <c r="K44" s="10" t="s">
        <v>384</v>
      </c>
      <c r="L44" s="68">
        <f>COUNTIF($H$2:$H$47,"타구속도")</f>
        <v>2</v>
      </c>
    </row>
    <row r="45">
      <c r="B45" s="65">
        <f t="shared" si="1"/>
        <v>10044</v>
      </c>
      <c r="C45" s="66" t="s">
        <v>108</v>
      </c>
      <c r="D45" s="66" t="s">
        <v>344</v>
      </c>
      <c r="E45" s="65"/>
      <c r="F45" s="65"/>
      <c r="G45" s="66" t="s">
        <v>322</v>
      </c>
      <c r="H45" s="65"/>
      <c r="I45" s="10" t="s">
        <v>385</v>
      </c>
    </row>
    <row r="46">
      <c r="B46" s="65">
        <f t="shared" si="1"/>
        <v>10045</v>
      </c>
      <c r="C46" s="66" t="s">
        <v>110</v>
      </c>
      <c r="D46" s="66" t="s">
        <v>348</v>
      </c>
      <c r="E46" s="65"/>
      <c r="F46" s="65"/>
      <c r="G46" s="67" t="s">
        <v>330</v>
      </c>
      <c r="H46" s="65"/>
    </row>
    <row r="47">
      <c r="B47" s="65">
        <f t="shared" si="1"/>
        <v>10046</v>
      </c>
      <c r="C47" s="66" t="s">
        <v>111</v>
      </c>
      <c r="D47" s="66" t="s">
        <v>349</v>
      </c>
      <c r="E47" s="65"/>
      <c r="F47" s="65"/>
      <c r="G47" s="67" t="s">
        <v>330</v>
      </c>
      <c r="H47" s="66" t="s">
        <v>337</v>
      </c>
    </row>
    <row r="48">
      <c r="B48" s="9">
        <f t="shared" si="1"/>
        <v>10047</v>
      </c>
    </row>
    <row r="49">
      <c r="B49" s="9">
        <f t="shared" si="1"/>
        <v>10048</v>
      </c>
    </row>
    <row r="50">
      <c r="B50" s="9">
        <f t="shared" si="1"/>
        <v>10049</v>
      </c>
    </row>
    <row r="51">
      <c r="B51" s="9">
        <f t="shared" si="1"/>
        <v>10050</v>
      </c>
    </row>
    <row r="52">
      <c r="A52" s="10" t="s">
        <v>386</v>
      </c>
      <c r="B52" s="10">
        <v>10101.0</v>
      </c>
      <c r="C52" s="10" t="s">
        <v>387</v>
      </c>
      <c r="F52" s="10" t="s">
        <v>388</v>
      </c>
    </row>
    <row r="53">
      <c r="B53" s="9">
        <f t="shared" ref="B53:B82" si="2">B52+1</f>
        <v>10102</v>
      </c>
      <c r="C53" s="10" t="s">
        <v>389</v>
      </c>
      <c r="D53" s="10" t="s">
        <v>390</v>
      </c>
      <c r="F53" s="10" t="s">
        <v>391</v>
      </c>
    </row>
    <row r="54">
      <c r="B54" s="9">
        <f t="shared" si="2"/>
        <v>10103</v>
      </c>
      <c r="C54" s="10" t="s">
        <v>392</v>
      </c>
      <c r="D54" s="10" t="s">
        <v>390</v>
      </c>
    </row>
    <row r="55">
      <c r="B55" s="9">
        <f t="shared" si="2"/>
        <v>10104</v>
      </c>
      <c r="C55" s="10" t="s">
        <v>393</v>
      </c>
    </row>
    <row r="56">
      <c r="B56" s="9">
        <f t="shared" si="2"/>
        <v>10105</v>
      </c>
      <c r="C56" s="10" t="s">
        <v>394</v>
      </c>
    </row>
    <row r="57">
      <c r="B57" s="9">
        <f t="shared" si="2"/>
        <v>10106</v>
      </c>
      <c r="C57" s="10" t="s">
        <v>394</v>
      </c>
    </row>
    <row r="58">
      <c r="B58" s="9">
        <f t="shared" si="2"/>
        <v>10107</v>
      </c>
      <c r="C58" s="10" t="s">
        <v>395</v>
      </c>
    </row>
    <row r="59">
      <c r="B59" s="9">
        <f t="shared" si="2"/>
        <v>10108</v>
      </c>
      <c r="C59" s="10" t="s">
        <v>396</v>
      </c>
    </row>
    <row r="60">
      <c r="B60" s="9">
        <f t="shared" si="2"/>
        <v>10109</v>
      </c>
      <c r="C60" s="10" t="s">
        <v>397</v>
      </c>
    </row>
    <row r="61">
      <c r="B61" s="9">
        <f t="shared" si="2"/>
        <v>10110</v>
      </c>
      <c r="C61" s="10" t="s">
        <v>398</v>
      </c>
    </row>
    <row r="62">
      <c r="B62" s="9">
        <f t="shared" si="2"/>
        <v>10111</v>
      </c>
      <c r="C62" s="10" t="s">
        <v>399</v>
      </c>
    </row>
    <row r="63">
      <c r="B63" s="9">
        <f t="shared" si="2"/>
        <v>10112</v>
      </c>
      <c r="C63" s="10" t="s">
        <v>400</v>
      </c>
    </row>
    <row r="64">
      <c r="B64" s="9">
        <f t="shared" si="2"/>
        <v>10113</v>
      </c>
      <c r="C64" s="10" t="s">
        <v>401</v>
      </c>
      <c r="E64" s="10" t="s">
        <v>402</v>
      </c>
    </row>
    <row r="65">
      <c r="B65" s="9">
        <f t="shared" si="2"/>
        <v>10114</v>
      </c>
      <c r="C65" s="10" t="s">
        <v>403</v>
      </c>
      <c r="E65" s="10" t="s">
        <v>404</v>
      </c>
    </row>
    <row r="66">
      <c r="B66" s="9">
        <f t="shared" si="2"/>
        <v>10115</v>
      </c>
      <c r="C66" s="10" t="s">
        <v>405</v>
      </c>
    </row>
    <row r="67">
      <c r="B67" s="9">
        <f t="shared" si="2"/>
        <v>10116</v>
      </c>
      <c r="C67" s="10" t="s">
        <v>406</v>
      </c>
    </row>
    <row r="68">
      <c r="B68" s="9">
        <f t="shared" si="2"/>
        <v>10117</v>
      </c>
      <c r="C68" s="10" t="s">
        <v>90</v>
      </c>
    </row>
    <row r="69">
      <c r="B69" s="9">
        <f t="shared" si="2"/>
        <v>10118</v>
      </c>
      <c r="C69" s="10" t="s">
        <v>91</v>
      </c>
    </row>
    <row r="70">
      <c r="B70" s="9">
        <f t="shared" si="2"/>
        <v>10119</v>
      </c>
      <c r="C70" s="10" t="s">
        <v>407</v>
      </c>
    </row>
    <row r="71">
      <c r="B71" s="9">
        <f t="shared" si="2"/>
        <v>10120</v>
      </c>
      <c r="C71" s="10" t="s">
        <v>408</v>
      </c>
    </row>
    <row r="72">
      <c r="B72" s="9">
        <f t="shared" si="2"/>
        <v>10121</v>
      </c>
      <c r="C72" s="10" t="s">
        <v>409</v>
      </c>
    </row>
    <row r="73">
      <c r="B73" s="9">
        <f t="shared" si="2"/>
        <v>10122</v>
      </c>
      <c r="C73" s="10" t="s">
        <v>410</v>
      </c>
    </row>
    <row r="74">
      <c r="B74" s="9">
        <f t="shared" si="2"/>
        <v>10123</v>
      </c>
      <c r="C74" s="10" t="s">
        <v>411</v>
      </c>
    </row>
    <row r="75">
      <c r="B75" s="9">
        <f t="shared" si="2"/>
        <v>10124</v>
      </c>
    </row>
    <row r="76">
      <c r="B76" s="9">
        <f t="shared" si="2"/>
        <v>10125</v>
      </c>
    </row>
    <row r="77">
      <c r="B77" s="9">
        <f t="shared" si="2"/>
        <v>10126</v>
      </c>
    </row>
    <row r="78">
      <c r="B78" s="9">
        <f t="shared" si="2"/>
        <v>10127</v>
      </c>
    </row>
    <row r="79">
      <c r="B79" s="9">
        <f t="shared" si="2"/>
        <v>10128</v>
      </c>
    </row>
    <row r="80">
      <c r="B80" s="9">
        <f t="shared" si="2"/>
        <v>10129</v>
      </c>
    </row>
    <row r="81">
      <c r="B81" s="9">
        <f t="shared" si="2"/>
        <v>10130</v>
      </c>
    </row>
    <row r="82">
      <c r="B82" s="9">
        <f t="shared" si="2"/>
        <v>10131</v>
      </c>
      <c r="D82" s="10" t="s">
        <v>412</v>
      </c>
      <c r="E82" s="10" t="s">
        <v>413</v>
      </c>
      <c r="F82" s="10" t="s">
        <v>414</v>
      </c>
      <c r="G82" s="10" t="s">
        <v>415</v>
      </c>
      <c r="H82" s="10"/>
      <c r="I82" s="10" t="s">
        <v>416</v>
      </c>
    </row>
    <row r="83">
      <c r="A83" s="10" t="s">
        <v>417</v>
      </c>
      <c r="B83" s="10">
        <v>10201.0</v>
      </c>
      <c r="C83" s="10" t="s">
        <v>418</v>
      </c>
      <c r="D83" s="10">
        <v>5.0</v>
      </c>
      <c r="E83" s="10">
        <v>8.0</v>
      </c>
      <c r="F83" s="10">
        <v>10.0</v>
      </c>
      <c r="G83" s="10">
        <v>15.0</v>
      </c>
      <c r="H83" s="10"/>
      <c r="I83" s="10">
        <v>20.0</v>
      </c>
      <c r="J83" s="10" t="s">
        <v>419</v>
      </c>
      <c r="L83" s="10" t="s">
        <v>420</v>
      </c>
    </row>
    <row r="84">
      <c r="B84" s="9">
        <f t="shared" ref="B84:B112" si="3">B83+1</f>
        <v>10202</v>
      </c>
      <c r="C84" s="10" t="s">
        <v>421</v>
      </c>
      <c r="D84" s="10">
        <v>10.0</v>
      </c>
      <c r="E84" s="10">
        <v>16.0</v>
      </c>
      <c r="F84" s="10">
        <v>20.0</v>
      </c>
      <c r="G84" s="10">
        <v>30.0</v>
      </c>
      <c r="H84" s="10"/>
      <c r="I84" s="10">
        <v>40.0</v>
      </c>
      <c r="J84" s="10" t="s">
        <v>419</v>
      </c>
      <c r="L84" s="10" t="s">
        <v>422</v>
      </c>
    </row>
    <row r="85">
      <c r="B85" s="9">
        <f t="shared" si="3"/>
        <v>10203</v>
      </c>
      <c r="C85" s="10" t="s">
        <v>423</v>
      </c>
      <c r="D85" s="10">
        <v>5.0</v>
      </c>
      <c r="E85" s="10">
        <v>8.0</v>
      </c>
      <c r="F85" s="10">
        <v>10.0</v>
      </c>
      <c r="G85" s="10">
        <v>15.0</v>
      </c>
      <c r="H85" s="10"/>
      <c r="I85" s="10">
        <v>20.0</v>
      </c>
      <c r="J85" s="10" t="s">
        <v>419</v>
      </c>
      <c r="L85" s="10" t="s">
        <v>420</v>
      </c>
    </row>
    <row r="86">
      <c r="B86" s="9">
        <f t="shared" si="3"/>
        <v>10204</v>
      </c>
      <c r="C86" s="10" t="s">
        <v>154</v>
      </c>
      <c r="D86" s="10">
        <v>10.0</v>
      </c>
      <c r="E86" s="10">
        <v>16.0</v>
      </c>
      <c r="F86" s="10">
        <v>20.0</v>
      </c>
      <c r="G86" s="10">
        <v>30.0</v>
      </c>
      <c r="H86" s="10"/>
      <c r="I86" s="10">
        <v>40.0</v>
      </c>
      <c r="J86" s="10" t="s">
        <v>419</v>
      </c>
      <c r="L86" s="10" t="s">
        <v>422</v>
      </c>
    </row>
    <row r="87">
      <c r="B87" s="9">
        <f t="shared" si="3"/>
        <v>10205</v>
      </c>
      <c r="C87" s="10" t="s">
        <v>424</v>
      </c>
      <c r="D87" s="10">
        <v>5.0</v>
      </c>
      <c r="E87" s="10">
        <v>8.0</v>
      </c>
      <c r="F87" s="10">
        <v>10.0</v>
      </c>
      <c r="G87" s="10">
        <v>15.0</v>
      </c>
      <c r="H87" s="10"/>
      <c r="I87" s="10">
        <v>20.0</v>
      </c>
      <c r="J87" s="10" t="s">
        <v>425</v>
      </c>
      <c r="L87" s="10" t="s">
        <v>426</v>
      </c>
    </row>
    <row r="88">
      <c r="B88" s="9">
        <f t="shared" si="3"/>
        <v>10206</v>
      </c>
      <c r="C88" s="10" t="s">
        <v>427</v>
      </c>
      <c r="D88" s="10">
        <v>10.0</v>
      </c>
      <c r="E88" s="10">
        <v>16.0</v>
      </c>
      <c r="F88" s="10">
        <v>20.0</v>
      </c>
      <c r="G88" s="10">
        <v>30.0</v>
      </c>
      <c r="H88" s="10"/>
      <c r="I88" s="10">
        <v>40.0</v>
      </c>
      <c r="J88" s="10" t="s">
        <v>425</v>
      </c>
      <c r="L88" s="10" t="s">
        <v>428</v>
      </c>
    </row>
    <row r="89">
      <c r="B89" s="9">
        <f t="shared" si="3"/>
        <v>10207</v>
      </c>
      <c r="C89" s="10" t="s">
        <v>429</v>
      </c>
      <c r="D89" s="10">
        <v>5.0</v>
      </c>
      <c r="E89" s="10">
        <v>8.0</v>
      </c>
      <c r="F89" s="10">
        <v>10.0</v>
      </c>
      <c r="G89" s="10">
        <v>15.0</v>
      </c>
      <c r="H89" s="10"/>
      <c r="I89" s="10">
        <v>20.0</v>
      </c>
      <c r="J89" s="10" t="s">
        <v>419</v>
      </c>
      <c r="L89" s="10" t="s">
        <v>420</v>
      </c>
    </row>
    <row r="90">
      <c r="B90" s="9">
        <f t="shared" si="3"/>
        <v>10208</v>
      </c>
      <c r="C90" s="10" t="s">
        <v>430</v>
      </c>
      <c r="D90" s="10">
        <v>10.0</v>
      </c>
      <c r="E90" s="10">
        <v>16.0</v>
      </c>
      <c r="F90" s="10">
        <v>20.0</v>
      </c>
      <c r="G90" s="10">
        <v>30.0</v>
      </c>
      <c r="H90" s="10"/>
      <c r="I90" s="10">
        <v>40.0</v>
      </c>
      <c r="J90" s="10" t="s">
        <v>419</v>
      </c>
      <c r="L90" s="10" t="s">
        <v>422</v>
      </c>
    </row>
    <row r="91">
      <c r="B91" s="9">
        <f t="shared" si="3"/>
        <v>10209</v>
      </c>
      <c r="C91" s="10" t="s">
        <v>431</v>
      </c>
      <c r="D91" s="10">
        <v>5.0</v>
      </c>
      <c r="E91" s="10">
        <v>8.0</v>
      </c>
      <c r="F91" s="10">
        <v>10.0</v>
      </c>
      <c r="G91" s="10">
        <v>15.0</v>
      </c>
      <c r="H91" s="10"/>
      <c r="I91" s="10">
        <v>20.0</v>
      </c>
      <c r="J91" s="10" t="s">
        <v>425</v>
      </c>
      <c r="L91" s="10" t="s">
        <v>426</v>
      </c>
    </row>
    <row r="92">
      <c r="B92" s="9">
        <f t="shared" si="3"/>
        <v>10210</v>
      </c>
      <c r="C92" s="10" t="s">
        <v>432</v>
      </c>
      <c r="D92" s="10">
        <v>10.0</v>
      </c>
      <c r="E92" s="10">
        <v>16.0</v>
      </c>
      <c r="F92" s="10">
        <v>20.0</v>
      </c>
      <c r="G92" s="10">
        <v>30.0</v>
      </c>
      <c r="H92" s="10"/>
      <c r="I92" s="10">
        <v>40.0</v>
      </c>
      <c r="J92" s="10" t="s">
        <v>425</v>
      </c>
      <c r="L92" s="10" t="s">
        <v>428</v>
      </c>
    </row>
    <row r="93">
      <c r="B93" s="9">
        <f t="shared" si="3"/>
        <v>10211</v>
      </c>
      <c r="C93" s="10" t="s">
        <v>433</v>
      </c>
      <c r="D93" s="72">
        <v>0.2</v>
      </c>
      <c r="E93" s="72">
        <v>0.3</v>
      </c>
      <c r="F93" s="72">
        <v>0.4</v>
      </c>
      <c r="G93" s="72">
        <v>0.75</v>
      </c>
      <c r="H93" s="72"/>
      <c r="I93" s="72">
        <v>1.0</v>
      </c>
      <c r="J93" s="10" t="s">
        <v>434</v>
      </c>
      <c r="L93" s="10" t="s">
        <v>426</v>
      </c>
    </row>
    <row r="94">
      <c r="B94" s="9">
        <f t="shared" si="3"/>
        <v>10212</v>
      </c>
      <c r="C94" s="10" t="s">
        <v>435</v>
      </c>
      <c r="D94" s="72">
        <v>0.04</v>
      </c>
      <c r="E94" s="72">
        <v>0.06</v>
      </c>
      <c r="F94" s="72">
        <v>0.08</v>
      </c>
      <c r="G94" s="72">
        <v>0.12</v>
      </c>
      <c r="H94" s="72"/>
      <c r="I94" s="72">
        <v>0.2</v>
      </c>
      <c r="J94" s="10" t="s">
        <v>434</v>
      </c>
      <c r="L94" s="10" t="s">
        <v>422</v>
      </c>
    </row>
    <row r="95">
      <c r="B95" s="9">
        <f t="shared" si="3"/>
        <v>10213</v>
      </c>
      <c r="C95" s="10" t="s">
        <v>436</v>
      </c>
      <c r="D95" s="72">
        <v>0.08</v>
      </c>
      <c r="E95" s="72">
        <v>0.12</v>
      </c>
      <c r="F95" s="72">
        <v>0.16</v>
      </c>
      <c r="G95" s="72">
        <v>0.24</v>
      </c>
      <c r="H95" s="72"/>
      <c r="I95" s="72">
        <v>0.4</v>
      </c>
      <c r="J95" s="10" t="s">
        <v>434</v>
      </c>
      <c r="L95" s="10" t="s">
        <v>426</v>
      </c>
    </row>
    <row r="96">
      <c r="B96" s="9">
        <f t="shared" si="3"/>
        <v>10214</v>
      </c>
      <c r="C96" s="10" t="s">
        <v>437</v>
      </c>
      <c r="D96" s="72">
        <v>0.2</v>
      </c>
      <c r="E96" s="72">
        <v>0.3</v>
      </c>
      <c r="F96" s="72">
        <v>0.4</v>
      </c>
      <c r="G96" s="72">
        <v>0.75</v>
      </c>
      <c r="H96" s="72"/>
      <c r="I96" s="72">
        <v>1.0</v>
      </c>
      <c r="J96" s="10" t="s">
        <v>438</v>
      </c>
      <c r="L96" s="10" t="s">
        <v>439</v>
      </c>
    </row>
    <row r="97">
      <c r="B97" s="9">
        <f t="shared" si="3"/>
        <v>10215</v>
      </c>
      <c r="C97" s="10" t="s">
        <v>440</v>
      </c>
      <c r="D97" s="72">
        <v>0.2</v>
      </c>
      <c r="E97" s="72">
        <v>0.3</v>
      </c>
      <c r="F97" s="72">
        <v>0.4</v>
      </c>
      <c r="G97" s="72">
        <v>0.75</v>
      </c>
      <c r="H97" s="72"/>
      <c r="I97" s="72">
        <v>1.0</v>
      </c>
      <c r="J97" s="10" t="s">
        <v>441</v>
      </c>
      <c r="L97" s="10" t="s">
        <v>442</v>
      </c>
    </row>
    <row r="98">
      <c r="B98" s="9">
        <f t="shared" si="3"/>
        <v>10216</v>
      </c>
      <c r="C98" s="10" t="s">
        <v>173</v>
      </c>
      <c r="D98" s="72">
        <v>0.2</v>
      </c>
      <c r="E98" s="72">
        <v>0.3</v>
      </c>
      <c r="F98" s="72">
        <v>0.4</v>
      </c>
      <c r="G98" s="72">
        <v>0.75</v>
      </c>
      <c r="H98" s="72"/>
      <c r="I98" s="72">
        <v>1.0</v>
      </c>
      <c r="J98" s="10" t="s">
        <v>443</v>
      </c>
      <c r="L98" s="10" t="s">
        <v>439</v>
      </c>
    </row>
    <row r="99">
      <c r="B99" s="9">
        <f t="shared" si="3"/>
        <v>10217</v>
      </c>
      <c r="C99" s="10" t="s">
        <v>444</v>
      </c>
      <c r="D99" s="72">
        <v>0.2</v>
      </c>
      <c r="E99" s="72">
        <v>0.3</v>
      </c>
      <c r="F99" s="72">
        <v>0.4</v>
      </c>
      <c r="G99" s="72">
        <v>0.75</v>
      </c>
      <c r="H99" s="72"/>
      <c r="I99" s="72">
        <v>1.0</v>
      </c>
      <c r="J99" s="10" t="s">
        <v>445</v>
      </c>
      <c r="L99" s="10" t="s">
        <v>442</v>
      </c>
    </row>
    <row r="100">
      <c r="B100" s="9">
        <f t="shared" si="3"/>
        <v>10218</v>
      </c>
      <c r="C100" s="10" t="s">
        <v>177</v>
      </c>
      <c r="D100" s="72">
        <v>0.2</v>
      </c>
      <c r="E100" s="72">
        <v>0.3</v>
      </c>
      <c r="F100" s="72">
        <v>0.4</v>
      </c>
      <c r="G100" s="72">
        <v>0.75</v>
      </c>
      <c r="H100" s="72"/>
      <c r="I100" s="72">
        <v>1.0</v>
      </c>
      <c r="J100" s="10" t="s">
        <v>446</v>
      </c>
      <c r="L100" s="10" t="s">
        <v>439</v>
      </c>
    </row>
    <row r="101">
      <c r="B101" s="9">
        <f t="shared" si="3"/>
        <v>10219</v>
      </c>
      <c r="C101" s="10" t="s">
        <v>447</v>
      </c>
      <c r="D101" s="10">
        <v>5.0</v>
      </c>
      <c r="E101" s="10">
        <v>8.0</v>
      </c>
      <c r="F101" s="10">
        <v>10.0</v>
      </c>
      <c r="G101" s="10">
        <v>15.0</v>
      </c>
      <c r="H101" s="10"/>
      <c r="I101" s="10">
        <v>20.0</v>
      </c>
      <c r="J101" s="10" t="s">
        <v>448</v>
      </c>
      <c r="L101" s="10" t="s">
        <v>420</v>
      </c>
    </row>
    <row r="102">
      <c r="B102" s="9">
        <f t="shared" si="3"/>
        <v>10220</v>
      </c>
      <c r="C102" s="10" t="s">
        <v>449</v>
      </c>
      <c r="D102" s="10">
        <v>10.0</v>
      </c>
      <c r="E102" s="10">
        <v>16.0</v>
      </c>
      <c r="F102" s="10">
        <v>20.0</v>
      </c>
      <c r="G102" s="10">
        <v>30.0</v>
      </c>
      <c r="H102" s="10"/>
      <c r="I102" s="10">
        <v>40.0</v>
      </c>
      <c r="J102" s="10" t="s">
        <v>448</v>
      </c>
      <c r="L102" s="10" t="s">
        <v>422</v>
      </c>
    </row>
    <row r="103">
      <c r="B103" s="9">
        <f t="shared" si="3"/>
        <v>10221</v>
      </c>
      <c r="C103" s="10" t="s">
        <v>450</v>
      </c>
      <c r="D103" s="10">
        <v>5.0</v>
      </c>
      <c r="E103" s="10">
        <v>8.0</v>
      </c>
      <c r="F103" s="10">
        <v>10.0</v>
      </c>
      <c r="G103" s="10">
        <v>15.0</v>
      </c>
      <c r="H103" s="10"/>
      <c r="I103" s="10">
        <v>20.0</v>
      </c>
      <c r="J103" s="10" t="s">
        <v>448</v>
      </c>
      <c r="L103" s="10" t="s">
        <v>420</v>
      </c>
    </row>
    <row r="104">
      <c r="B104" s="9">
        <f t="shared" si="3"/>
        <v>10222</v>
      </c>
      <c r="C104" s="10" t="s">
        <v>451</v>
      </c>
      <c r="D104" s="10">
        <v>10.0</v>
      </c>
      <c r="E104" s="10">
        <v>16.0</v>
      </c>
      <c r="F104" s="10">
        <v>20.0</v>
      </c>
      <c r="G104" s="10">
        <v>30.0</v>
      </c>
      <c r="H104" s="10"/>
      <c r="I104" s="10">
        <v>40.0</v>
      </c>
      <c r="J104" s="10" t="s">
        <v>448</v>
      </c>
      <c r="L104" s="10" t="s">
        <v>422</v>
      </c>
    </row>
    <row r="105">
      <c r="B105" s="9">
        <f t="shared" si="3"/>
        <v>10223</v>
      </c>
      <c r="C105" s="10" t="s">
        <v>452</v>
      </c>
      <c r="D105" s="10">
        <v>5.0</v>
      </c>
      <c r="E105" s="10">
        <v>8.0</v>
      </c>
      <c r="F105" s="10">
        <v>10.0</v>
      </c>
      <c r="G105" s="10">
        <v>15.0</v>
      </c>
      <c r="H105" s="10"/>
      <c r="I105" s="10">
        <v>20.0</v>
      </c>
      <c r="J105" s="10" t="s">
        <v>448</v>
      </c>
      <c r="L105" s="10" t="s">
        <v>420</v>
      </c>
    </row>
    <row r="106">
      <c r="B106" s="9">
        <f t="shared" si="3"/>
        <v>10224</v>
      </c>
      <c r="C106" s="10" t="s">
        <v>453</v>
      </c>
      <c r="D106" s="10">
        <v>10.0</v>
      </c>
      <c r="E106" s="10">
        <v>16.0</v>
      </c>
      <c r="F106" s="10">
        <v>20.0</v>
      </c>
      <c r="G106" s="10">
        <v>30.0</v>
      </c>
      <c r="H106" s="10"/>
      <c r="I106" s="10">
        <v>40.0</v>
      </c>
      <c r="J106" s="10" t="s">
        <v>448</v>
      </c>
      <c r="L106" s="10" t="s">
        <v>422</v>
      </c>
    </row>
    <row r="107">
      <c r="B107" s="9">
        <f t="shared" si="3"/>
        <v>10225</v>
      </c>
      <c r="C107" s="10" t="s">
        <v>454</v>
      </c>
      <c r="D107" s="10" t="s">
        <v>455</v>
      </c>
      <c r="J107" s="10" t="s">
        <v>456</v>
      </c>
      <c r="L107" s="10" t="s">
        <v>428</v>
      </c>
    </row>
    <row r="108">
      <c r="B108" s="9">
        <f t="shared" si="3"/>
        <v>10226</v>
      </c>
      <c r="C108" s="10" t="s">
        <v>457</v>
      </c>
      <c r="D108" s="10" t="s">
        <v>455</v>
      </c>
      <c r="J108" s="10" t="s">
        <v>458</v>
      </c>
      <c r="L108" s="10" t="s">
        <v>428</v>
      </c>
    </row>
    <row r="109">
      <c r="B109" s="9">
        <f t="shared" si="3"/>
        <v>10227</v>
      </c>
    </row>
    <row r="110">
      <c r="B110" s="9">
        <f t="shared" si="3"/>
        <v>10228</v>
      </c>
    </row>
    <row r="111">
      <c r="B111" s="9">
        <f t="shared" si="3"/>
        <v>10229</v>
      </c>
    </row>
    <row r="112">
      <c r="B112" s="9">
        <f t="shared" si="3"/>
        <v>10230</v>
      </c>
    </row>
    <row r="113">
      <c r="A113" s="10" t="s">
        <v>459</v>
      </c>
      <c r="B113" s="10">
        <v>10301.0</v>
      </c>
      <c r="C113" s="10" t="s">
        <v>460</v>
      </c>
      <c r="D113" s="72">
        <v>0.04</v>
      </c>
      <c r="E113" s="72">
        <v>0.06</v>
      </c>
      <c r="F113" s="72">
        <v>0.08</v>
      </c>
      <c r="G113" s="72">
        <v>0.12</v>
      </c>
      <c r="H113" s="72"/>
      <c r="I113" s="72">
        <v>0.2</v>
      </c>
      <c r="J113" s="10" t="s">
        <v>434</v>
      </c>
      <c r="L113" s="10" t="s">
        <v>420</v>
      </c>
    </row>
    <row r="114">
      <c r="B114" s="9">
        <f t="shared" ref="B114:B142" si="4">B113+1</f>
        <v>10302</v>
      </c>
      <c r="C114" s="10" t="s">
        <v>194</v>
      </c>
      <c r="D114" s="72">
        <v>0.08</v>
      </c>
      <c r="E114" s="72">
        <v>0.12</v>
      </c>
      <c r="F114" s="72">
        <v>0.16</v>
      </c>
      <c r="G114" s="72">
        <v>0.24</v>
      </c>
      <c r="H114" s="72"/>
      <c r="I114" s="72">
        <v>0.4</v>
      </c>
      <c r="J114" s="10" t="s">
        <v>434</v>
      </c>
      <c r="L114" s="10" t="s">
        <v>422</v>
      </c>
    </row>
    <row r="115">
      <c r="B115" s="9">
        <f t="shared" si="4"/>
        <v>10303</v>
      </c>
      <c r="C115" s="10" t="s">
        <v>195</v>
      </c>
      <c r="D115" s="72">
        <v>0.2</v>
      </c>
      <c r="E115" s="72">
        <v>0.3</v>
      </c>
      <c r="F115" s="72">
        <v>0.4</v>
      </c>
      <c r="G115" s="72">
        <v>0.75</v>
      </c>
      <c r="H115" s="72"/>
      <c r="I115" s="72">
        <v>1.0</v>
      </c>
      <c r="J115" s="10" t="s">
        <v>434</v>
      </c>
      <c r="L115" s="10" t="s">
        <v>426</v>
      </c>
    </row>
    <row r="116">
      <c r="B116" s="9">
        <f t="shared" si="4"/>
        <v>10304</v>
      </c>
      <c r="C116" s="10" t="s">
        <v>197</v>
      </c>
      <c r="D116" s="72">
        <v>0.1</v>
      </c>
      <c r="E116" s="72">
        <v>0.15</v>
      </c>
      <c r="F116" s="72">
        <v>0.2</v>
      </c>
      <c r="G116" s="72">
        <v>0.37</v>
      </c>
      <c r="H116" s="72"/>
      <c r="I116" s="72">
        <v>0.5</v>
      </c>
      <c r="J116" s="10" t="s">
        <v>434</v>
      </c>
      <c r="L116" s="10" t="s">
        <v>428</v>
      </c>
    </row>
    <row r="117">
      <c r="B117" s="9">
        <f t="shared" si="4"/>
        <v>10305</v>
      </c>
      <c r="C117" s="10" t="s">
        <v>199</v>
      </c>
      <c r="D117" s="72">
        <v>0.2</v>
      </c>
      <c r="E117" s="72">
        <v>0.3</v>
      </c>
      <c r="F117" s="72">
        <v>0.4</v>
      </c>
      <c r="G117" s="72">
        <v>0.75</v>
      </c>
      <c r="H117" s="72"/>
      <c r="I117" s="72">
        <v>1.0</v>
      </c>
      <c r="J117" s="10" t="s">
        <v>434</v>
      </c>
      <c r="L117" s="10" t="s">
        <v>426</v>
      </c>
    </row>
    <row r="118">
      <c r="B118" s="9">
        <f t="shared" si="4"/>
        <v>10306</v>
      </c>
      <c r="C118" s="10" t="s">
        <v>201</v>
      </c>
      <c r="D118" s="72">
        <v>0.08</v>
      </c>
      <c r="E118" s="72">
        <v>0.12</v>
      </c>
      <c r="F118" s="72">
        <v>0.16</v>
      </c>
      <c r="G118" s="72">
        <v>0.24</v>
      </c>
      <c r="H118" s="72"/>
      <c r="I118" s="72">
        <v>0.4</v>
      </c>
      <c r="J118" s="10" t="s">
        <v>434</v>
      </c>
      <c r="L118" s="10" t="s">
        <v>422</v>
      </c>
    </row>
    <row r="119">
      <c r="B119" s="9">
        <f t="shared" si="4"/>
        <v>10307</v>
      </c>
      <c r="C119" s="10" t="s">
        <v>203</v>
      </c>
      <c r="D119" s="72">
        <v>0.16</v>
      </c>
      <c r="E119" s="72">
        <v>0.24</v>
      </c>
      <c r="F119" s="72">
        <v>0.32</v>
      </c>
      <c r="G119" s="72">
        <v>0.48</v>
      </c>
      <c r="H119" s="72"/>
      <c r="I119" s="72">
        <v>0.8</v>
      </c>
      <c r="J119" s="10" t="s">
        <v>434</v>
      </c>
      <c r="L119" s="10" t="s">
        <v>428</v>
      </c>
    </row>
    <row r="120">
      <c r="B120" s="9">
        <f t="shared" si="4"/>
        <v>10308</v>
      </c>
      <c r="C120" s="10" t="s">
        <v>204</v>
      </c>
      <c r="D120" s="10">
        <v>5.0</v>
      </c>
      <c r="E120" s="10">
        <v>8.0</v>
      </c>
      <c r="F120" s="10">
        <v>10.0</v>
      </c>
      <c r="G120" s="10">
        <v>15.0</v>
      </c>
      <c r="H120" s="10"/>
      <c r="I120" s="10">
        <v>20.0</v>
      </c>
      <c r="J120" s="10" t="s">
        <v>461</v>
      </c>
      <c r="L120" s="10" t="s">
        <v>420</v>
      </c>
    </row>
    <row r="121">
      <c r="B121" s="9">
        <f t="shared" si="4"/>
        <v>10309</v>
      </c>
      <c r="C121" s="10" t="s">
        <v>206</v>
      </c>
      <c r="D121" s="10">
        <v>10.0</v>
      </c>
      <c r="E121" s="10">
        <v>16.0</v>
      </c>
      <c r="F121" s="10">
        <v>20.0</v>
      </c>
      <c r="G121" s="10">
        <v>30.0</v>
      </c>
      <c r="H121" s="10"/>
      <c r="I121" s="10">
        <v>40.0</v>
      </c>
      <c r="J121" s="10" t="s">
        <v>461</v>
      </c>
      <c r="L121" s="10" t="s">
        <v>422</v>
      </c>
    </row>
    <row r="122">
      <c r="B122" s="9">
        <f t="shared" si="4"/>
        <v>10310</v>
      </c>
    </row>
    <row r="123">
      <c r="B123" s="9">
        <f t="shared" si="4"/>
        <v>10311</v>
      </c>
    </row>
    <row r="124">
      <c r="B124" s="9">
        <f t="shared" si="4"/>
        <v>10312</v>
      </c>
    </row>
    <row r="125">
      <c r="B125" s="9">
        <f t="shared" si="4"/>
        <v>10313</v>
      </c>
    </row>
    <row r="126">
      <c r="B126" s="9">
        <f t="shared" si="4"/>
        <v>10314</v>
      </c>
    </row>
    <row r="127">
      <c r="B127" s="9">
        <f t="shared" si="4"/>
        <v>10315</v>
      </c>
    </row>
    <row r="128">
      <c r="B128" s="9">
        <f t="shared" si="4"/>
        <v>10316</v>
      </c>
    </row>
    <row r="129">
      <c r="B129" s="9">
        <f t="shared" si="4"/>
        <v>10317</v>
      </c>
    </row>
    <row r="130">
      <c r="B130" s="9">
        <f t="shared" si="4"/>
        <v>10318</v>
      </c>
    </row>
    <row r="131">
      <c r="B131" s="9">
        <f t="shared" si="4"/>
        <v>10319</v>
      </c>
    </row>
    <row r="132">
      <c r="B132" s="9">
        <f t="shared" si="4"/>
        <v>10320</v>
      </c>
    </row>
    <row r="133">
      <c r="B133" s="9">
        <f t="shared" si="4"/>
        <v>10321</v>
      </c>
    </row>
    <row r="134">
      <c r="B134" s="9">
        <f t="shared" si="4"/>
        <v>10322</v>
      </c>
    </row>
    <row r="135">
      <c r="B135" s="9">
        <f t="shared" si="4"/>
        <v>10323</v>
      </c>
    </row>
    <row r="136">
      <c r="B136" s="9">
        <f t="shared" si="4"/>
        <v>10324</v>
      </c>
    </row>
    <row r="137">
      <c r="B137" s="9">
        <f t="shared" si="4"/>
        <v>10325</v>
      </c>
    </row>
    <row r="138">
      <c r="B138" s="9">
        <f t="shared" si="4"/>
        <v>10326</v>
      </c>
    </row>
    <row r="139">
      <c r="B139" s="9">
        <f t="shared" si="4"/>
        <v>10327</v>
      </c>
    </row>
    <row r="140">
      <c r="B140" s="9">
        <f t="shared" si="4"/>
        <v>10328</v>
      </c>
    </row>
    <row r="141">
      <c r="B141" s="9">
        <f t="shared" si="4"/>
        <v>10329</v>
      </c>
    </row>
    <row r="142">
      <c r="B142" s="9">
        <f t="shared" si="4"/>
        <v>10330</v>
      </c>
      <c r="C142" s="10" t="s">
        <v>462</v>
      </c>
      <c r="F142" s="10" t="s">
        <v>463</v>
      </c>
    </row>
    <row r="143">
      <c r="A143" s="10" t="s">
        <v>464</v>
      </c>
      <c r="B143" s="10">
        <v>10401.0</v>
      </c>
      <c r="C143" s="10" t="s">
        <v>465</v>
      </c>
      <c r="E143" s="10" t="s">
        <v>466</v>
      </c>
      <c r="G143" s="10" t="s">
        <v>467</v>
      </c>
      <c r="H143" s="10"/>
      <c r="I143" s="10" t="s">
        <v>468</v>
      </c>
    </row>
    <row r="144">
      <c r="B144" s="9">
        <f t="shared" ref="B144:B160" si="5">B143+1</f>
        <v>10402</v>
      </c>
      <c r="C144" s="10" t="s">
        <v>469</v>
      </c>
      <c r="E144" s="10" t="s">
        <v>470</v>
      </c>
      <c r="G144" s="10" t="s">
        <v>471</v>
      </c>
      <c r="H144" s="10"/>
      <c r="I144" s="10" t="s">
        <v>472</v>
      </c>
    </row>
    <row r="145">
      <c r="B145" s="9">
        <f t="shared" si="5"/>
        <v>10403</v>
      </c>
      <c r="C145" s="10" t="s">
        <v>473</v>
      </c>
      <c r="E145" s="10" t="s">
        <v>474</v>
      </c>
      <c r="G145" s="10" t="s">
        <v>475</v>
      </c>
      <c r="H145" s="10"/>
    </row>
    <row r="146">
      <c r="B146" s="9">
        <f t="shared" si="5"/>
        <v>10404</v>
      </c>
      <c r="C146" s="10" t="s">
        <v>476</v>
      </c>
      <c r="E146" s="10" t="s">
        <v>474</v>
      </c>
      <c r="G146" s="10" t="s">
        <v>477</v>
      </c>
      <c r="H146" s="10"/>
    </row>
    <row r="147">
      <c r="B147" s="9">
        <f t="shared" si="5"/>
        <v>10405</v>
      </c>
      <c r="C147" s="10" t="s">
        <v>478</v>
      </c>
      <c r="E147" s="10" t="s">
        <v>474</v>
      </c>
      <c r="F147" s="10" t="s">
        <v>479</v>
      </c>
      <c r="G147" s="10" t="s">
        <v>480</v>
      </c>
      <c r="H147" s="10"/>
    </row>
    <row r="148">
      <c r="B148" s="9">
        <f t="shared" si="5"/>
        <v>10406</v>
      </c>
      <c r="C148" s="10" t="s">
        <v>481</v>
      </c>
      <c r="E148" s="10" t="s">
        <v>482</v>
      </c>
      <c r="F148" s="10" t="s">
        <v>483</v>
      </c>
      <c r="G148" s="10" t="s">
        <v>471</v>
      </c>
      <c r="H148" s="10"/>
    </row>
    <row r="149">
      <c r="B149" s="9">
        <f t="shared" si="5"/>
        <v>10407</v>
      </c>
      <c r="C149" s="10" t="s">
        <v>484</v>
      </c>
      <c r="E149" s="10" t="s">
        <v>482</v>
      </c>
      <c r="F149" s="10" t="s">
        <v>68</v>
      </c>
      <c r="G149" s="10" t="s">
        <v>337</v>
      </c>
      <c r="H149" s="10"/>
    </row>
    <row r="150">
      <c r="B150" s="9">
        <f t="shared" si="5"/>
        <v>10408</v>
      </c>
      <c r="C150" s="10" t="s">
        <v>485</v>
      </c>
      <c r="E150" s="10" t="s">
        <v>482</v>
      </c>
      <c r="F150" s="10" t="s">
        <v>70</v>
      </c>
      <c r="G150" s="10" t="s">
        <v>480</v>
      </c>
      <c r="H150" s="10"/>
    </row>
    <row r="151">
      <c r="B151" s="9">
        <f t="shared" si="5"/>
        <v>10409</v>
      </c>
    </row>
    <row r="152">
      <c r="B152" s="9">
        <f t="shared" si="5"/>
        <v>10410</v>
      </c>
    </row>
    <row r="153">
      <c r="B153" s="9">
        <f t="shared" si="5"/>
        <v>10411</v>
      </c>
    </row>
    <row r="154">
      <c r="B154" s="9">
        <f t="shared" si="5"/>
        <v>10412</v>
      </c>
    </row>
    <row r="155">
      <c r="B155" s="9">
        <f t="shared" si="5"/>
        <v>10413</v>
      </c>
    </row>
    <row r="156">
      <c r="B156" s="9">
        <f t="shared" si="5"/>
        <v>10414</v>
      </c>
    </row>
    <row r="157">
      <c r="B157" s="9">
        <f t="shared" si="5"/>
        <v>10415</v>
      </c>
    </row>
    <row r="158">
      <c r="B158" s="9">
        <f t="shared" si="5"/>
        <v>10416</v>
      </c>
    </row>
    <row r="159">
      <c r="B159" s="9">
        <f t="shared" si="5"/>
        <v>10417</v>
      </c>
    </row>
    <row r="160">
      <c r="B160" s="9">
        <f t="shared" si="5"/>
        <v>10418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>
      <c r="A4" s="74" t="s">
        <v>289</v>
      </c>
      <c r="B4" s="75"/>
      <c r="C4" s="73"/>
      <c r="D4" s="73" t="s">
        <v>486</v>
      </c>
      <c r="E4" s="73"/>
      <c r="F4" s="73"/>
      <c r="G4" s="73" t="s">
        <v>487</v>
      </c>
      <c r="H4" s="73"/>
      <c r="I4" s="73"/>
      <c r="J4" s="73" t="s">
        <v>488</v>
      </c>
      <c r="K4" s="73"/>
      <c r="L4" s="73"/>
      <c r="M4" s="73" t="s">
        <v>489</v>
      </c>
      <c r="N4" s="73"/>
      <c r="O4" s="73"/>
      <c r="P4" s="73" t="s">
        <v>490</v>
      </c>
      <c r="Q4" s="73"/>
      <c r="R4" s="73"/>
      <c r="S4" s="73" t="s">
        <v>491</v>
      </c>
      <c r="T4" s="73"/>
      <c r="U4" s="73"/>
      <c r="V4" s="73" t="s">
        <v>492</v>
      </c>
      <c r="W4" s="73"/>
      <c r="X4" s="73" t="s">
        <v>493</v>
      </c>
      <c r="Y4" s="73"/>
      <c r="Z4" s="73" t="s">
        <v>494</v>
      </c>
      <c r="AA4" s="73"/>
      <c r="AB4" s="73" t="s">
        <v>493</v>
      </c>
      <c r="AC4" s="73"/>
      <c r="AD4" s="73"/>
      <c r="AE4" s="73"/>
    </row>
    <row r="5">
      <c r="A5" s="29" t="s">
        <v>290</v>
      </c>
      <c r="B5" s="30">
        <v>1.0</v>
      </c>
      <c r="C5" s="73"/>
      <c r="D5" s="76" t="s">
        <v>495</v>
      </c>
      <c r="E5" s="77">
        <v>0.0</v>
      </c>
      <c r="F5" s="73"/>
      <c r="G5" s="76" t="s">
        <v>496</v>
      </c>
      <c r="H5" s="77">
        <v>0.0</v>
      </c>
      <c r="I5" s="73"/>
      <c r="J5" s="76" t="s">
        <v>497</v>
      </c>
      <c r="K5" s="77">
        <v>1.0</v>
      </c>
      <c r="L5" s="73"/>
      <c r="M5" s="76" t="s">
        <v>498</v>
      </c>
      <c r="N5" s="77">
        <v>1.0</v>
      </c>
      <c r="O5" s="73"/>
      <c r="P5" s="76" t="s">
        <v>499</v>
      </c>
      <c r="Q5" s="77">
        <v>1.0</v>
      </c>
      <c r="R5" s="73"/>
      <c r="S5" s="76" t="s">
        <v>496</v>
      </c>
      <c r="T5" s="77">
        <v>0.0</v>
      </c>
      <c r="U5" s="73"/>
      <c r="V5" s="78" t="s">
        <v>21</v>
      </c>
      <c r="W5" s="79">
        <v>10001.0</v>
      </c>
      <c r="X5" s="80" t="s">
        <v>322</v>
      </c>
      <c r="Y5" s="81"/>
      <c r="Z5" s="82" t="s">
        <v>500</v>
      </c>
      <c r="AA5" s="83">
        <v>20001.0</v>
      </c>
      <c r="AB5" s="80" t="s">
        <v>501</v>
      </c>
      <c r="AC5" s="73"/>
      <c r="AD5" s="73"/>
      <c r="AE5" s="73"/>
    </row>
    <row r="6">
      <c r="A6" s="29" t="s">
        <v>291</v>
      </c>
      <c r="B6" s="30">
        <v>2.0</v>
      </c>
      <c r="C6" s="73"/>
      <c r="D6" s="76" t="s">
        <v>502</v>
      </c>
      <c r="E6" s="77">
        <v>1.0</v>
      </c>
      <c r="F6" s="73"/>
      <c r="G6" s="76" t="s">
        <v>503</v>
      </c>
      <c r="H6" s="77">
        <v>1.0</v>
      </c>
      <c r="I6" s="73"/>
      <c r="J6" s="76" t="s">
        <v>498</v>
      </c>
      <c r="K6" s="77">
        <v>2.0</v>
      </c>
      <c r="L6" s="73"/>
      <c r="M6" s="76" t="s">
        <v>504</v>
      </c>
      <c r="N6" s="77">
        <v>2.0</v>
      </c>
      <c r="O6" s="73"/>
      <c r="P6" s="76" t="s">
        <v>505</v>
      </c>
      <c r="Q6" s="77">
        <v>2.0</v>
      </c>
      <c r="R6" s="73"/>
      <c r="S6" s="76" t="s">
        <v>506</v>
      </c>
      <c r="T6" s="77">
        <v>1.0</v>
      </c>
      <c r="U6" s="73"/>
      <c r="V6" s="78" t="s">
        <v>25</v>
      </c>
      <c r="W6" s="84">
        <f t="shared" ref="W6:W50" si="1">W5+1</f>
        <v>10002</v>
      </c>
      <c r="X6" s="80" t="s">
        <v>322</v>
      </c>
      <c r="Y6" s="81"/>
      <c r="Z6" s="82" t="s">
        <v>507</v>
      </c>
      <c r="AA6" s="83">
        <f t="shared" ref="AA6:AA50" si="2">AA5+1</f>
        <v>20002</v>
      </c>
      <c r="AB6" s="80" t="s">
        <v>501</v>
      </c>
      <c r="AC6" s="73"/>
      <c r="AD6" s="73"/>
      <c r="AE6" s="73"/>
    </row>
    <row r="7">
      <c r="A7" s="29" t="s">
        <v>292</v>
      </c>
      <c r="B7" s="30">
        <v>3.0</v>
      </c>
      <c r="C7" s="73"/>
      <c r="D7" s="76" t="s">
        <v>508</v>
      </c>
      <c r="E7" s="77">
        <v>2.0</v>
      </c>
      <c r="F7" s="73"/>
      <c r="G7" s="76" t="s">
        <v>509</v>
      </c>
      <c r="H7" s="77">
        <v>2.0</v>
      </c>
      <c r="I7" s="73"/>
      <c r="J7" s="76" t="s">
        <v>510</v>
      </c>
      <c r="K7" s="77">
        <v>3.0</v>
      </c>
      <c r="L7" s="73"/>
      <c r="M7" s="76" t="s">
        <v>511</v>
      </c>
      <c r="N7" s="77">
        <v>3.0</v>
      </c>
      <c r="O7" s="73"/>
      <c r="P7" s="76" t="s">
        <v>512</v>
      </c>
      <c r="Q7" s="77">
        <v>3.0</v>
      </c>
      <c r="R7" s="73"/>
      <c r="S7" s="76" t="s">
        <v>513</v>
      </c>
      <c r="T7" s="77">
        <v>2.0</v>
      </c>
      <c r="U7" s="73"/>
      <c r="V7" s="78" t="s">
        <v>27</v>
      </c>
      <c r="W7" s="84">
        <f t="shared" si="1"/>
        <v>10003</v>
      </c>
      <c r="X7" s="80" t="s">
        <v>322</v>
      </c>
      <c r="Y7" s="81"/>
      <c r="Z7" s="82" t="s">
        <v>514</v>
      </c>
      <c r="AA7" s="83">
        <f t="shared" si="2"/>
        <v>20003</v>
      </c>
      <c r="AB7" s="80" t="s">
        <v>501</v>
      </c>
      <c r="AC7" s="73"/>
      <c r="AD7" s="73"/>
      <c r="AE7" s="73"/>
    </row>
    <row r="8">
      <c r="A8" s="29" t="s">
        <v>293</v>
      </c>
      <c r="B8" s="30">
        <v>4.0</v>
      </c>
      <c r="C8" s="73"/>
      <c r="D8" s="73"/>
      <c r="E8" s="73"/>
      <c r="F8" s="73"/>
      <c r="G8" s="76" t="s">
        <v>515</v>
      </c>
      <c r="H8" s="77">
        <v>3.0</v>
      </c>
      <c r="I8" s="73"/>
      <c r="J8" s="76" t="s">
        <v>516</v>
      </c>
      <c r="K8" s="77">
        <v>4.0</v>
      </c>
      <c r="L8" s="73"/>
      <c r="M8" s="76" t="s">
        <v>517</v>
      </c>
      <c r="N8" s="77">
        <v>4.0</v>
      </c>
      <c r="O8" s="73"/>
      <c r="P8" s="76" t="s">
        <v>518</v>
      </c>
      <c r="Q8" s="77">
        <v>4.0</v>
      </c>
      <c r="R8" s="73"/>
      <c r="S8" s="76" t="s">
        <v>519</v>
      </c>
      <c r="T8" s="77">
        <v>11.0</v>
      </c>
      <c r="U8" s="73"/>
      <c r="V8" s="78" t="s">
        <v>29</v>
      </c>
      <c r="W8" s="84">
        <f t="shared" si="1"/>
        <v>10004</v>
      </c>
      <c r="X8" s="80" t="s">
        <v>331</v>
      </c>
      <c r="Y8" s="81"/>
      <c r="Z8" s="82" t="s">
        <v>520</v>
      </c>
      <c r="AA8" s="83">
        <f t="shared" si="2"/>
        <v>20004</v>
      </c>
      <c r="AB8" s="80" t="s">
        <v>521</v>
      </c>
      <c r="AC8" s="73"/>
      <c r="AD8" s="73"/>
      <c r="AE8" s="73"/>
    </row>
    <row r="9">
      <c r="A9" s="29" t="s">
        <v>294</v>
      </c>
      <c r="B9" s="30">
        <v>5.0</v>
      </c>
      <c r="C9" s="73"/>
      <c r="D9" s="73"/>
      <c r="E9" s="73"/>
      <c r="F9" s="73"/>
      <c r="G9" s="76" t="s">
        <v>522</v>
      </c>
      <c r="H9" s="77">
        <v>4.0</v>
      </c>
      <c r="I9" s="73"/>
      <c r="J9" s="76" t="s">
        <v>523</v>
      </c>
      <c r="K9" s="77">
        <v>5.0</v>
      </c>
      <c r="L9" s="73"/>
      <c r="M9" s="76" t="s">
        <v>524</v>
      </c>
      <c r="N9" s="77">
        <v>5.0</v>
      </c>
      <c r="O9" s="73"/>
      <c r="P9" s="76" t="s">
        <v>115</v>
      </c>
      <c r="Q9" s="77">
        <v>5.0</v>
      </c>
      <c r="R9" s="73"/>
      <c r="S9" s="76"/>
      <c r="T9" s="76"/>
      <c r="U9" s="73"/>
      <c r="V9" s="78" t="s">
        <v>32</v>
      </c>
      <c r="W9" s="84">
        <f t="shared" si="1"/>
        <v>10005</v>
      </c>
      <c r="X9" s="80" t="s">
        <v>331</v>
      </c>
      <c r="Y9" s="81"/>
      <c r="Z9" s="82" t="s">
        <v>525</v>
      </c>
      <c r="AA9" s="83">
        <f t="shared" si="2"/>
        <v>20005</v>
      </c>
      <c r="AB9" s="80" t="s">
        <v>521</v>
      </c>
      <c r="AC9" s="73"/>
      <c r="AD9" s="73"/>
      <c r="AE9" s="73"/>
    </row>
    <row r="10">
      <c r="A10" s="85"/>
      <c r="B10" s="86"/>
      <c r="C10" s="73"/>
      <c r="D10" s="73"/>
      <c r="E10" s="73"/>
      <c r="F10" s="73"/>
      <c r="G10" s="76" t="s">
        <v>526</v>
      </c>
      <c r="H10" s="77">
        <v>5.0</v>
      </c>
      <c r="I10" s="73"/>
      <c r="J10" s="76" t="s">
        <v>527</v>
      </c>
      <c r="K10" s="77">
        <v>6.0</v>
      </c>
      <c r="L10" s="73"/>
      <c r="M10" s="76" t="s">
        <v>528</v>
      </c>
      <c r="N10" s="77">
        <v>6.0</v>
      </c>
      <c r="O10" s="73"/>
      <c r="P10" s="73"/>
      <c r="Q10" s="73"/>
      <c r="R10" s="73"/>
      <c r="S10" s="76"/>
      <c r="T10" s="76"/>
      <c r="U10" s="73"/>
      <c r="V10" s="78" t="s">
        <v>33</v>
      </c>
      <c r="W10" s="84">
        <f t="shared" si="1"/>
        <v>10006</v>
      </c>
      <c r="X10" s="80" t="s">
        <v>331</v>
      </c>
      <c r="Y10" s="81"/>
      <c r="Z10" s="82" t="s">
        <v>529</v>
      </c>
      <c r="AA10" s="83">
        <f t="shared" si="2"/>
        <v>20006</v>
      </c>
      <c r="AB10" s="80" t="s">
        <v>521</v>
      </c>
      <c r="AC10" s="73"/>
      <c r="AD10" s="73"/>
      <c r="AE10" s="73"/>
    </row>
    <row r="11">
      <c r="A11" s="85"/>
      <c r="B11" s="86"/>
      <c r="C11" s="73"/>
      <c r="D11" s="73"/>
      <c r="E11" s="73"/>
      <c r="F11" s="73"/>
      <c r="G11" s="76" t="s">
        <v>530</v>
      </c>
      <c r="H11" s="77">
        <v>6.0</v>
      </c>
      <c r="I11" s="73"/>
      <c r="J11" s="73"/>
      <c r="K11" s="73"/>
      <c r="L11" s="73"/>
      <c r="M11" s="76" t="s">
        <v>495</v>
      </c>
      <c r="N11" s="77">
        <v>7.0</v>
      </c>
      <c r="O11" s="73"/>
      <c r="P11" s="73"/>
      <c r="Q11" s="73"/>
      <c r="R11" s="73"/>
      <c r="S11" s="76"/>
      <c r="T11" s="76"/>
      <c r="U11" s="73"/>
      <c r="V11" s="78" t="s">
        <v>35</v>
      </c>
      <c r="W11" s="84">
        <f t="shared" si="1"/>
        <v>10007</v>
      </c>
      <c r="X11" s="80" t="s">
        <v>338</v>
      </c>
      <c r="Y11" s="81"/>
      <c r="Z11" s="82" t="s">
        <v>531</v>
      </c>
      <c r="AA11" s="83">
        <f t="shared" si="2"/>
        <v>20007</v>
      </c>
      <c r="AB11" s="80" t="s">
        <v>532</v>
      </c>
      <c r="AC11" s="73"/>
      <c r="AD11" s="73"/>
      <c r="AE11" s="73"/>
    </row>
    <row r="12">
      <c r="A12" s="85"/>
      <c r="B12" s="86"/>
      <c r="C12" s="73"/>
      <c r="D12" s="73"/>
      <c r="E12" s="73"/>
      <c r="F12" s="73"/>
      <c r="G12" s="76" t="s">
        <v>533</v>
      </c>
      <c r="H12" s="77">
        <v>100.0</v>
      </c>
      <c r="I12" s="73"/>
      <c r="J12" s="73"/>
      <c r="K12" s="73"/>
      <c r="L12" s="73"/>
      <c r="M12" s="76" t="s">
        <v>534</v>
      </c>
      <c r="N12" s="77">
        <v>8.0</v>
      </c>
      <c r="O12" s="73"/>
      <c r="P12" s="73"/>
      <c r="Q12" s="73"/>
      <c r="R12" s="73"/>
      <c r="S12" s="76"/>
      <c r="T12" s="76"/>
      <c r="U12" s="73"/>
      <c r="V12" s="78" t="s">
        <v>38</v>
      </c>
      <c r="W12" s="84">
        <f t="shared" si="1"/>
        <v>10008</v>
      </c>
      <c r="X12" s="80" t="s">
        <v>338</v>
      </c>
      <c r="Y12" s="81"/>
      <c r="Z12" s="82" t="s">
        <v>535</v>
      </c>
      <c r="AA12" s="83">
        <f t="shared" si="2"/>
        <v>20008</v>
      </c>
      <c r="AB12" s="80" t="s">
        <v>532</v>
      </c>
      <c r="AC12" s="73"/>
      <c r="AD12" s="73"/>
      <c r="AE12" s="73"/>
    </row>
    <row r="13">
      <c r="A13" s="85"/>
      <c r="B13" s="86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6" t="s">
        <v>502</v>
      </c>
      <c r="N13" s="77">
        <v>9.0</v>
      </c>
      <c r="O13" s="73"/>
      <c r="P13" s="73"/>
      <c r="Q13" s="73"/>
      <c r="R13" s="73"/>
      <c r="S13" s="76"/>
      <c r="T13" s="76"/>
      <c r="U13" s="73"/>
      <c r="V13" s="78" t="s">
        <v>39</v>
      </c>
      <c r="W13" s="84">
        <f t="shared" si="1"/>
        <v>10009</v>
      </c>
      <c r="X13" s="80" t="s">
        <v>338</v>
      </c>
      <c r="Y13" s="81"/>
      <c r="Z13" s="82" t="s">
        <v>536</v>
      </c>
      <c r="AA13" s="83">
        <f t="shared" si="2"/>
        <v>20009</v>
      </c>
      <c r="AB13" s="80" t="s">
        <v>532</v>
      </c>
      <c r="AC13" s="73"/>
      <c r="AD13" s="73"/>
      <c r="AE13" s="73"/>
    </row>
    <row r="14">
      <c r="A14" s="85"/>
      <c r="B14" s="86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6" t="s">
        <v>537</v>
      </c>
      <c r="N14" s="77">
        <v>10.0</v>
      </c>
      <c r="O14" s="73"/>
      <c r="P14" s="73"/>
      <c r="Q14" s="73"/>
      <c r="R14" s="73"/>
      <c r="S14" s="76"/>
      <c r="T14" s="76"/>
      <c r="U14" s="73"/>
      <c r="V14" s="78" t="s">
        <v>41</v>
      </c>
      <c r="W14" s="84">
        <f t="shared" si="1"/>
        <v>10010</v>
      </c>
      <c r="X14" s="80" t="s">
        <v>331</v>
      </c>
      <c r="Y14" s="81"/>
      <c r="Z14" s="82" t="s">
        <v>538</v>
      </c>
      <c r="AA14" s="83">
        <f t="shared" si="2"/>
        <v>20010</v>
      </c>
      <c r="AB14" s="80" t="s">
        <v>539</v>
      </c>
      <c r="AC14" s="73"/>
      <c r="AD14" s="73"/>
      <c r="AE14" s="73"/>
    </row>
    <row r="15">
      <c r="A15" s="85"/>
      <c r="B15" s="86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6" t="s">
        <v>540</v>
      </c>
      <c r="N15" s="77">
        <v>11.0</v>
      </c>
      <c r="O15" s="73"/>
      <c r="P15" s="73"/>
      <c r="Q15" s="73"/>
      <c r="R15" s="73"/>
      <c r="S15" s="76"/>
      <c r="T15" s="76"/>
      <c r="U15" s="73"/>
      <c r="V15" s="78" t="s">
        <v>44</v>
      </c>
      <c r="W15" s="84">
        <f t="shared" si="1"/>
        <v>10011</v>
      </c>
      <c r="X15" s="80" t="s">
        <v>338</v>
      </c>
      <c r="Y15" s="81"/>
      <c r="Z15" s="82" t="s">
        <v>541</v>
      </c>
      <c r="AA15" s="83">
        <f t="shared" si="2"/>
        <v>20011</v>
      </c>
      <c r="AB15" s="80" t="s">
        <v>539</v>
      </c>
      <c r="AC15" s="73"/>
      <c r="AD15" s="73"/>
      <c r="AE15" s="73"/>
    </row>
    <row r="16">
      <c r="A16" s="85"/>
      <c r="B16" s="86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6" t="s">
        <v>542</v>
      </c>
      <c r="N16" s="77">
        <v>12.0</v>
      </c>
      <c r="O16" s="73"/>
      <c r="P16" s="73"/>
      <c r="Q16" s="73"/>
      <c r="R16" s="73"/>
      <c r="S16" s="76"/>
      <c r="T16" s="76"/>
      <c r="U16" s="73"/>
      <c r="V16" s="78" t="s">
        <v>46</v>
      </c>
      <c r="W16" s="84">
        <f t="shared" si="1"/>
        <v>10012</v>
      </c>
      <c r="X16" s="80" t="s">
        <v>338</v>
      </c>
      <c r="Y16" s="81"/>
      <c r="Z16" s="82" t="s">
        <v>543</v>
      </c>
      <c r="AA16" s="83">
        <f t="shared" si="2"/>
        <v>20012</v>
      </c>
      <c r="AB16" s="80" t="s">
        <v>539</v>
      </c>
      <c r="AC16" s="73"/>
      <c r="AD16" s="73"/>
      <c r="AE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6" t="s">
        <v>544</v>
      </c>
      <c r="N17" s="77">
        <v>13.0</v>
      </c>
      <c r="O17" s="73"/>
      <c r="P17" s="73"/>
      <c r="Q17" s="73"/>
      <c r="R17" s="73"/>
      <c r="S17" s="76"/>
      <c r="T17" s="76"/>
      <c r="U17" s="73"/>
      <c r="V17" s="78" t="s">
        <v>49</v>
      </c>
      <c r="W17" s="84">
        <f t="shared" si="1"/>
        <v>10013</v>
      </c>
      <c r="X17" s="80" t="s">
        <v>338</v>
      </c>
      <c r="Y17" s="81"/>
      <c r="Z17" s="82" t="s">
        <v>545</v>
      </c>
      <c r="AA17" s="83">
        <f t="shared" si="2"/>
        <v>20013</v>
      </c>
      <c r="AB17" s="80" t="s">
        <v>322</v>
      </c>
      <c r="AC17" s="73"/>
      <c r="AD17" s="73"/>
      <c r="AE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6" t="s">
        <v>546</v>
      </c>
      <c r="N18" s="77">
        <v>14.0</v>
      </c>
      <c r="O18" s="73"/>
      <c r="P18" s="73"/>
      <c r="Q18" s="73"/>
      <c r="R18" s="73"/>
      <c r="S18" s="76"/>
      <c r="T18" s="76"/>
      <c r="U18" s="73"/>
      <c r="V18" s="78" t="s">
        <v>50</v>
      </c>
      <c r="W18" s="84">
        <f t="shared" si="1"/>
        <v>10014</v>
      </c>
      <c r="X18" s="80" t="s">
        <v>338</v>
      </c>
      <c r="Y18" s="81"/>
      <c r="Z18" s="82" t="s">
        <v>547</v>
      </c>
      <c r="AA18" s="83">
        <f t="shared" si="2"/>
        <v>20014</v>
      </c>
      <c r="AB18" s="80" t="s">
        <v>322</v>
      </c>
      <c r="AC18" s="73"/>
      <c r="AD18" s="73"/>
      <c r="AE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6" t="s">
        <v>548</v>
      </c>
      <c r="N19" s="77">
        <v>15.0</v>
      </c>
      <c r="O19" s="73"/>
      <c r="P19" s="73"/>
      <c r="Q19" s="73"/>
      <c r="R19" s="73"/>
      <c r="S19" s="76"/>
      <c r="T19" s="76"/>
      <c r="U19" s="73"/>
      <c r="V19" s="78" t="s">
        <v>52</v>
      </c>
      <c r="W19" s="84">
        <f t="shared" si="1"/>
        <v>10015</v>
      </c>
      <c r="X19" s="80" t="s">
        <v>337</v>
      </c>
      <c r="Y19" s="81"/>
      <c r="Z19" s="82" t="s">
        <v>549</v>
      </c>
      <c r="AA19" s="83">
        <f t="shared" si="2"/>
        <v>20015</v>
      </c>
      <c r="AB19" s="80" t="s">
        <v>322</v>
      </c>
      <c r="AC19" s="73"/>
      <c r="AD19" s="73"/>
      <c r="AE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6" t="s">
        <v>550</v>
      </c>
      <c r="N20" s="77">
        <v>16.0</v>
      </c>
      <c r="O20" s="73"/>
      <c r="P20" s="73"/>
      <c r="Q20" s="73"/>
      <c r="R20" s="73"/>
      <c r="S20" s="76"/>
      <c r="T20" s="76"/>
      <c r="U20" s="73"/>
      <c r="V20" s="78" t="s">
        <v>55</v>
      </c>
      <c r="W20" s="84">
        <f t="shared" si="1"/>
        <v>10016</v>
      </c>
      <c r="X20" s="80" t="s">
        <v>337</v>
      </c>
      <c r="Y20" s="81"/>
      <c r="Z20" s="82" t="s">
        <v>551</v>
      </c>
      <c r="AA20" s="83">
        <f t="shared" si="2"/>
        <v>20016</v>
      </c>
      <c r="AB20" s="80" t="s">
        <v>552</v>
      </c>
      <c r="AC20" s="73"/>
      <c r="AD20" s="73"/>
      <c r="AE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8" t="s">
        <v>57</v>
      </c>
      <c r="W21" s="84">
        <f t="shared" si="1"/>
        <v>10017</v>
      </c>
      <c r="X21" s="80" t="s">
        <v>337</v>
      </c>
      <c r="Y21" s="81"/>
      <c r="Z21" s="82" t="s">
        <v>553</v>
      </c>
      <c r="AA21" s="83">
        <f t="shared" si="2"/>
        <v>20017</v>
      </c>
      <c r="AB21" s="80" t="s">
        <v>552</v>
      </c>
      <c r="AC21" s="73"/>
      <c r="AD21" s="73"/>
      <c r="AE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8" t="s">
        <v>60</v>
      </c>
      <c r="W22" s="84">
        <f t="shared" si="1"/>
        <v>10018</v>
      </c>
      <c r="X22" s="80" t="s">
        <v>337</v>
      </c>
      <c r="Y22" s="81"/>
      <c r="Z22" s="82" t="s">
        <v>554</v>
      </c>
      <c r="AA22" s="83">
        <f t="shared" si="2"/>
        <v>20018</v>
      </c>
      <c r="AB22" s="80" t="s">
        <v>552</v>
      </c>
      <c r="AC22" s="73"/>
      <c r="AD22" s="73"/>
      <c r="AE22" s="73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8" t="s">
        <v>62</v>
      </c>
      <c r="W23" s="84">
        <f t="shared" si="1"/>
        <v>10019</v>
      </c>
      <c r="X23" s="80" t="s">
        <v>337</v>
      </c>
      <c r="Y23" s="81"/>
      <c r="Z23" s="82" t="s">
        <v>555</v>
      </c>
      <c r="AA23" s="83">
        <f t="shared" si="2"/>
        <v>20019</v>
      </c>
      <c r="AB23" s="80" t="s">
        <v>556</v>
      </c>
      <c r="AC23" s="73"/>
      <c r="AD23" s="73"/>
      <c r="AE23" s="73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8" t="s">
        <v>64</v>
      </c>
      <c r="W24" s="84">
        <f t="shared" si="1"/>
        <v>10020</v>
      </c>
      <c r="X24" s="80" t="s">
        <v>337</v>
      </c>
      <c r="Y24" s="81"/>
      <c r="Z24" s="82" t="s">
        <v>557</v>
      </c>
      <c r="AA24" s="83">
        <f t="shared" si="2"/>
        <v>20020</v>
      </c>
      <c r="AB24" s="80" t="s">
        <v>556</v>
      </c>
      <c r="AC24" s="73"/>
      <c r="AD24" s="73"/>
      <c r="AE24" s="73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8" t="s">
        <v>66</v>
      </c>
      <c r="W25" s="84">
        <f t="shared" si="1"/>
        <v>10021</v>
      </c>
      <c r="X25" s="80" t="s">
        <v>337</v>
      </c>
      <c r="Y25" s="81"/>
      <c r="Z25" s="82" t="s">
        <v>558</v>
      </c>
      <c r="AA25" s="83">
        <f t="shared" si="2"/>
        <v>20021</v>
      </c>
      <c r="AB25" s="80" t="s">
        <v>556</v>
      </c>
      <c r="AC25" s="73"/>
      <c r="AD25" s="73"/>
      <c r="AE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8" t="s">
        <v>68</v>
      </c>
      <c r="W26" s="84">
        <f t="shared" si="1"/>
        <v>10022</v>
      </c>
      <c r="X26" s="80" t="s">
        <v>331</v>
      </c>
      <c r="Y26" s="81"/>
      <c r="Z26" s="82" t="s">
        <v>559</v>
      </c>
      <c r="AA26" s="83">
        <f t="shared" si="2"/>
        <v>20022</v>
      </c>
      <c r="AB26" s="80" t="s">
        <v>521</v>
      </c>
      <c r="AC26" s="73"/>
      <c r="AD26" s="73"/>
      <c r="AE26" s="73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8" t="s">
        <v>70</v>
      </c>
      <c r="W27" s="84">
        <f t="shared" si="1"/>
        <v>10023</v>
      </c>
      <c r="X27" s="80" t="s">
        <v>338</v>
      </c>
      <c r="Y27" s="81"/>
      <c r="Z27" s="82" t="s">
        <v>560</v>
      </c>
      <c r="AA27" s="83">
        <f t="shared" si="2"/>
        <v>20023</v>
      </c>
      <c r="AB27" s="80" t="s">
        <v>521</v>
      </c>
      <c r="AC27" s="73"/>
      <c r="AD27" s="73"/>
      <c r="AE27" s="73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8" t="s">
        <v>72</v>
      </c>
      <c r="W28" s="84">
        <f t="shared" si="1"/>
        <v>10024</v>
      </c>
      <c r="X28" s="80" t="s">
        <v>561</v>
      </c>
      <c r="Y28" s="81"/>
      <c r="Z28" s="82" t="s">
        <v>562</v>
      </c>
      <c r="AA28" s="83">
        <f t="shared" si="2"/>
        <v>20024</v>
      </c>
      <c r="AB28" s="80" t="s">
        <v>521</v>
      </c>
      <c r="AC28" s="73"/>
      <c r="AD28" s="73"/>
      <c r="AE28" s="73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8" t="s">
        <v>74</v>
      </c>
      <c r="W29" s="84">
        <f t="shared" si="1"/>
        <v>10025</v>
      </c>
      <c r="X29" s="80" t="s">
        <v>563</v>
      </c>
      <c r="Y29" s="81"/>
      <c r="Z29" s="82" t="s">
        <v>564</v>
      </c>
      <c r="AA29" s="83">
        <f t="shared" si="2"/>
        <v>20025</v>
      </c>
      <c r="AB29" s="80" t="s">
        <v>331</v>
      </c>
      <c r="AC29" s="73"/>
      <c r="AD29" s="73"/>
      <c r="AE29" s="73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8" t="s">
        <v>76</v>
      </c>
      <c r="W30" s="84">
        <f t="shared" si="1"/>
        <v>10026</v>
      </c>
      <c r="X30" s="80" t="s">
        <v>331</v>
      </c>
      <c r="Y30" s="81"/>
      <c r="Z30" s="82" t="s">
        <v>565</v>
      </c>
      <c r="AA30" s="83">
        <f t="shared" si="2"/>
        <v>20026</v>
      </c>
      <c r="AB30" s="80" t="s">
        <v>331</v>
      </c>
      <c r="AC30" s="73"/>
      <c r="AD30" s="73"/>
      <c r="AE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8" t="s">
        <v>78</v>
      </c>
      <c r="W31" s="84">
        <f t="shared" si="1"/>
        <v>10027</v>
      </c>
      <c r="X31" s="80" t="s">
        <v>331</v>
      </c>
      <c r="Y31" s="81"/>
      <c r="Z31" s="82" t="s">
        <v>566</v>
      </c>
      <c r="AA31" s="83">
        <f t="shared" si="2"/>
        <v>20027</v>
      </c>
      <c r="AB31" s="80" t="s">
        <v>331</v>
      </c>
      <c r="AC31" s="73"/>
      <c r="AD31" s="73"/>
      <c r="AE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8" t="s">
        <v>80</v>
      </c>
      <c r="W32" s="84">
        <f t="shared" si="1"/>
        <v>10028</v>
      </c>
      <c r="X32" s="80" t="s">
        <v>331</v>
      </c>
      <c r="Y32" s="81"/>
      <c r="Z32" s="82" t="s">
        <v>567</v>
      </c>
      <c r="AA32" s="83">
        <f t="shared" si="2"/>
        <v>20028</v>
      </c>
      <c r="AB32" s="80" t="s">
        <v>568</v>
      </c>
      <c r="AC32" s="73"/>
      <c r="AD32" s="73"/>
      <c r="AE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8" t="s">
        <v>81</v>
      </c>
      <c r="W33" s="84">
        <f t="shared" si="1"/>
        <v>10029</v>
      </c>
      <c r="X33" s="80" t="s">
        <v>331</v>
      </c>
      <c r="Y33" s="81"/>
      <c r="Z33" s="82" t="s">
        <v>569</v>
      </c>
      <c r="AA33" s="83">
        <f t="shared" si="2"/>
        <v>20029</v>
      </c>
      <c r="AB33" s="80" t="s">
        <v>568</v>
      </c>
      <c r="AC33" s="73"/>
      <c r="AD33" s="73"/>
      <c r="AE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8" t="s">
        <v>83</v>
      </c>
      <c r="W34" s="84">
        <f t="shared" si="1"/>
        <v>10030</v>
      </c>
      <c r="X34" s="80" t="s">
        <v>322</v>
      </c>
      <c r="Y34" s="81"/>
      <c r="Z34" s="82" t="s">
        <v>570</v>
      </c>
      <c r="AA34" s="83">
        <f t="shared" si="2"/>
        <v>20030</v>
      </c>
      <c r="AB34" s="80" t="s">
        <v>568</v>
      </c>
      <c r="AC34" s="73"/>
      <c r="AD34" s="73"/>
      <c r="AE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8" t="s">
        <v>85</v>
      </c>
      <c r="W35" s="84">
        <f t="shared" si="1"/>
        <v>10031</v>
      </c>
      <c r="X35" s="80" t="s">
        <v>322</v>
      </c>
      <c r="Y35" s="81"/>
      <c r="Z35" s="82" t="s">
        <v>571</v>
      </c>
      <c r="AA35" s="83">
        <f t="shared" si="2"/>
        <v>20031</v>
      </c>
      <c r="AB35" s="80" t="s">
        <v>338</v>
      </c>
      <c r="AC35" s="73"/>
      <c r="AD35" s="73"/>
      <c r="AE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8" t="s">
        <v>86</v>
      </c>
      <c r="W36" s="84">
        <f t="shared" si="1"/>
        <v>10032</v>
      </c>
      <c r="X36" s="80" t="s">
        <v>322</v>
      </c>
      <c r="Y36" s="81"/>
      <c r="Z36" s="82" t="s">
        <v>572</v>
      </c>
      <c r="AA36" s="83">
        <f t="shared" si="2"/>
        <v>20032</v>
      </c>
      <c r="AB36" s="80" t="s">
        <v>338</v>
      </c>
      <c r="AC36" s="73"/>
      <c r="AD36" s="73"/>
      <c r="AE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8" t="s">
        <v>88</v>
      </c>
      <c r="W37" s="84">
        <f t="shared" si="1"/>
        <v>10033</v>
      </c>
      <c r="X37" s="80" t="s">
        <v>338</v>
      </c>
      <c r="Y37" s="81"/>
      <c r="Z37" s="82" t="s">
        <v>573</v>
      </c>
      <c r="AA37" s="83">
        <f t="shared" si="2"/>
        <v>20033</v>
      </c>
      <c r="AB37" s="80" t="s">
        <v>338</v>
      </c>
      <c r="AC37" s="73"/>
      <c r="AD37" s="73"/>
      <c r="AE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8" t="s">
        <v>90</v>
      </c>
      <c r="W38" s="84">
        <f t="shared" si="1"/>
        <v>10034</v>
      </c>
      <c r="X38" s="80" t="s">
        <v>338</v>
      </c>
      <c r="Y38" s="81"/>
      <c r="Z38" s="82" t="s">
        <v>574</v>
      </c>
      <c r="AA38" s="83">
        <f t="shared" si="2"/>
        <v>20034</v>
      </c>
      <c r="AB38" s="80" t="s">
        <v>575</v>
      </c>
      <c r="AC38" s="73"/>
      <c r="AD38" s="73"/>
      <c r="AE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8" t="s">
        <v>91</v>
      </c>
      <c r="W39" s="84">
        <f t="shared" si="1"/>
        <v>10035</v>
      </c>
      <c r="X39" s="80" t="s">
        <v>338</v>
      </c>
      <c r="Y39" s="81"/>
      <c r="Z39" s="82" t="s">
        <v>576</v>
      </c>
      <c r="AA39" s="83">
        <f t="shared" si="2"/>
        <v>20035</v>
      </c>
      <c r="AB39" s="80" t="s">
        <v>575</v>
      </c>
      <c r="AC39" s="73"/>
      <c r="AD39" s="73"/>
      <c r="AE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8" t="s">
        <v>93</v>
      </c>
      <c r="W40" s="84">
        <f t="shared" si="1"/>
        <v>10036</v>
      </c>
      <c r="X40" s="80" t="s">
        <v>331</v>
      </c>
      <c r="Y40" s="81"/>
      <c r="Z40" s="82" t="s">
        <v>577</v>
      </c>
      <c r="AA40" s="83">
        <f t="shared" si="2"/>
        <v>20036</v>
      </c>
      <c r="AB40" s="80" t="s">
        <v>578</v>
      </c>
      <c r="AC40" s="73"/>
      <c r="AD40" s="73"/>
      <c r="AE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8" t="s">
        <v>95</v>
      </c>
      <c r="W41" s="84">
        <f t="shared" si="1"/>
        <v>10037</v>
      </c>
      <c r="X41" s="80" t="s">
        <v>331</v>
      </c>
      <c r="Y41" s="81"/>
      <c r="Z41" s="82" t="s">
        <v>579</v>
      </c>
      <c r="AA41" s="83">
        <f t="shared" si="2"/>
        <v>20037</v>
      </c>
      <c r="AB41" s="80" t="s">
        <v>578</v>
      </c>
      <c r="AC41" s="73"/>
      <c r="AD41" s="73"/>
      <c r="AE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8" t="s">
        <v>97</v>
      </c>
      <c r="W42" s="84">
        <f t="shared" si="1"/>
        <v>10038</v>
      </c>
      <c r="X42" s="80" t="s">
        <v>322</v>
      </c>
      <c r="Y42" s="81"/>
      <c r="Z42" s="82" t="s">
        <v>580</v>
      </c>
      <c r="AA42" s="83">
        <f t="shared" si="2"/>
        <v>20038</v>
      </c>
      <c r="AB42" s="80" t="s">
        <v>578</v>
      </c>
      <c r="AC42" s="73"/>
      <c r="AD42" s="73"/>
      <c r="AE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8" t="s">
        <v>99</v>
      </c>
      <c r="W43" s="84">
        <f t="shared" si="1"/>
        <v>10039</v>
      </c>
      <c r="X43" s="80" t="s">
        <v>322</v>
      </c>
      <c r="Y43" s="81"/>
      <c r="Z43" s="82" t="s">
        <v>581</v>
      </c>
      <c r="AA43" s="83">
        <f t="shared" si="2"/>
        <v>20039</v>
      </c>
      <c r="AB43" s="80" t="s">
        <v>582</v>
      </c>
      <c r="AC43" s="73"/>
      <c r="AD43" s="73"/>
      <c r="AE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8" t="s">
        <v>100</v>
      </c>
      <c r="W44" s="84">
        <f t="shared" si="1"/>
        <v>10040</v>
      </c>
      <c r="X44" s="80" t="s">
        <v>322</v>
      </c>
      <c r="Y44" s="81"/>
      <c r="Z44" s="82" t="s">
        <v>583</v>
      </c>
      <c r="AA44" s="83">
        <f t="shared" si="2"/>
        <v>20040</v>
      </c>
      <c r="AB44" s="80" t="s">
        <v>584</v>
      </c>
      <c r="AC44" s="73"/>
      <c r="AD44" s="73"/>
      <c r="AE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8" t="s">
        <v>102</v>
      </c>
      <c r="W45" s="84">
        <f t="shared" si="1"/>
        <v>10041</v>
      </c>
      <c r="X45" s="80" t="s">
        <v>337</v>
      </c>
      <c r="Y45" s="81"/>
      <c r="Z45" s="82" t="s">
        <v>585</v>
      </c>
      <c r="AA45" s="83">
        <f t="shared" si="2"/>
        <v>20041</v>
      </c>
      <c r="AB45" s="80" t="s">
        <v>586</v>
      </c>
      <c r="AC45" s="73"/>
      <c r="AD45" s="73"/>
      <c r="AE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8" t="s">
        <v>104</v>
      </c>
      <c r="W46" s="84">
        <f t="shared" si="1"/>
        <v>10042</v>
      </c>
      <c r="X46" s="80" t="s">
        <v>338</v>
      </c>
      <c r="Y46" s="81"/>
      <c r="Z46" s="82" t="s">
        <v>587</v>
      </c>
      <c r="AA46" s="83">
        <f t="shared" si="2"/>
        <v>20042</v>
      </c>
      <c r="AB46" s="80" t="s">
        <v>588</v>
      </c>
      <c r="AC46" s="73"/>
      <c r="AD46" s="73"/>
      <c r="AE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8" t="s">
        <v>106</v>
      </c>
      <c r="W47" s="84">
        <f t="shared" si="1"/>
        <v>10043</v>
      </c>
      <c r="X47" s="80" t="s">
        <v>338</v>
      </c>
      <c r="Y47" s="81"/>
      <c r="Z47" s="82" t="s">
        <v>589</v>
      </c>
      <c r="AA47" s="83">
        <f t="shared" si="2"/>
        <v>20043</v>
      </c>
      <c r="AB47" s="80" t="s">
        <v>582</v>
      </c>
      <c r="AC47" s="73"/>
      <c r="AD47" s="73"/>
      <c r="AE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8" t="s">
        <v>108</v>
      </c>
      <c r="W48" s="84">
        <f t="shared" si="1"/>
        <v>10044</v>
      </c>
      <c r="X48" s="80" t="s">
        <v>322</v>
      </c>
      <c r="Y48" s="81"/>
      <c r="Z48" s="82" t="s">
        <v>590</v>
      </c>
      <c r="AA48" s="83">
        <f t="shared" si="2"/>
        <v>20044</v>
      </c>
      <c r="AB48" s="80" t="s">
        <v>584</v>
      </c>
      <c r="AC48" s="73"/>
      <c r="AD48" s="73"/>
      <c r="AE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8" t="s">
        <v>110</v>
      </c>
      <c r="W49" s="84">
        <f t="shared" si="1"/>
        <v>10045</v>
      </c>
      <c r="X49" s="80" t="s">
        <v>322</v>
      </c>
      <c r="Y49" s="81"/>
      <c r="Z49" s="82" t="s">
        <v>591</v>
      </c>
      <c r="AA49" s="83">
        <f t="shared" si="2"/>
        <v>20045</v>
      </c>
      <c r="AB49" s="80" t="s">
        <v>586</v>
      </c>
      <c r="AC49" s="73"/>
      <c r="AD49" s="73"/>
      <c r="AE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8" t="s">
        <v>111</v>
      </c>
      <c r="W50" s="84">
        <f t="shared" si="1"/>
        <v>10046</v>
      </c>
      <c r="X50" s="80" t="s">
        <v>322</v>
      </c>
      <c r="Y50" s="81"/>
      <c r="Z50" s="82" t="s">
        <v>592</v>
      </c>
      <c r="AA50" s="83">
        <f t="shared" si="2"/>
        <v>20046</v>
      </c>
      <c r="AB50" s="80" t="s">
        <v>588</v>
      </c>
      <c r="AC50" s="73"/>
      <c r="AD50" s="73"/>
      <c r="AE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8" t="s">
        <v>113</v>
      </c>
      <c r="W51" s="87">
        <v>10101.0</v>
      </c>
      <c r="X51" s="80" t="s">
        <v>593</v>
      </c>
      <c r="Y51" s="81"/>
      <c r="Z51" s="73"/>
      <c r="AA51" s="73"/>
      <c r="AB51" s="73"/>
      <c r="AC51" s="73"/>
      <c r="AD51" s="73"/>
      <c r="AE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8" t="s">
        <v>116</v>
      </c>
      <c r="W52" s="88">
        <f t="shared" ref="W52:W73" si="3">W51+1</f>
        <v>10102</v>
      </c>
      <c r="X52" s="80" t="s">
        <v>593</v>
      </c>
      <c r="Y52" s="81"/>
      <c r="Z52" s="73"/>
      <c r="AA52" s="73"/>
      <c r="AB52" s="73"/>
      <c r="AC52" s="73"/>
      <c r="AD52" s="73"/>
      <c r="AE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8" t="s">
        <v>117</v>
      </c>
      <c r="W53" s="88">
        <f t="shared" si="3"/>
        <v>10103</v>
      </c>
      <c r="X53" s="80" t="s">
        <v>593</v>
      </c>
      <c r="Y53" s="81"/>
      <c r="Z53" s="73"/>
      <c r="AA53" s="73"/>
      <c r="AB53" s="73"/>
      <c r="AC53" s="73"/>
      <c r="AD53" s="73"/>
      <c r="AE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8" t="s">
        <v>118</v>
      </c>
      <c r="W54" s="88">
        <f t="shared" si="3"/>
        <v>10104</v>
      </c>
      <c r="X54" s="80" t="s">
        <v>594</v>
      </c>
      <c r="Y54" s="81"/>
      <c r="Z54" s="73"/>
      <c r="AA54" s="73"/>
      <c r="AB54" s="73"/>
      <c r="AC54" s="73"/>
      <c r="AD54" s="73"/>
      <c r="AE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8" t="s">
        <v>120</v>
      </c>
      <c r="W55" s="88">
        <f t="shared" si="3"/>
        <v>10105</v>
      </c>
      <c r="X55" s="80" t="s">
        <v>594</v>
      </c>
      <c r="Y55" s="81"/>
      <c r="Z55" s="73"/>
      <c r="AA55" s="73"/>
      <c r="AB55" s="73"/>
      <c r="AC55" s="73"/>
      <c r="AD55" s="73"/>
      <c r="AE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8" t="s">
        <v>121</v>
      </c>
      <c r="W56" s="88">
        <f t="shared" si="3"/>
        <v>10106</v>
      </c>
      <c r="X56" s="80" t="s">
        <v>594</v>
      </c>
      <c r="Y56" s="81"/>
      <c r="Z56" s="73"/>
      <c r="AA56" s="73"/>
      <c r="AB56" s="73"/>
      <c r="AC56" s="73"/>
      <c r="AD56" s="73"/>
      <c r="AE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8" t="s">
        <v>122</v>
      </c>
      <c r="W57" s="88">
        <f t="shared" si="3"/>
        <v>10107</v>
      </c>
      <c r="X57" s="80" t="s">
        <v>595</v>
      </c>
      <c r="Y57" s="81"/>
      <c r="Z57" s="73"/>
      <c r="AA57" s="73"/>
      <c r="AB57" s="73"/>
      <c r="AC57" s="73"/>
      <c r="AD57" s="73"/>
      <c r="AE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8" t="s">
        <v>124</v>
      </c>
      <c r="W58" s="88">
        <f t="shared" si="3"/>
        <v>10108</v>
      </c>
      <c r="X58" s="80" t="s">
        <v>595</v>
      </c>
      <c r="Y58" s="81"/>
      <c r="Z58" s="73"/>
      <c r="AA58" s="73"/>
      <c r="AB58" s="73"/>
      <c r="AC58" s="73"/>
      <c r="AD58" s="73"/>
      <c r="AE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8" t="s">
        <v>125</v>
      </c>
      <c r="W59" s="88">
        <f t="shared" si="3"/>
        <v>10109</v>
      </c>
      <c r="X59" s="80" t="s">
        <v>595</v>
      </c>
      <c r="Y59" s="81"/>
      <c r="Z59" s="73"/>
      <c r="AA59" s="73"/>
      <c r="AB59" s="73"/>
      <c r="AC59" s="73"/>
      <c r="AD59" s="73"/>
      <c r="AE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8" t="s">
        <v>126</v>
      </c>
      <c r="W60" s="88">
        <f t="shared" si="3"/>
        <v>10110</v>
      </c>
      <c r="X60" s="80" t="s">
        <v>596</v>
      </c>
      <c r="Y60" s="81"/>
      <c r="Z60" s="73"/>
      <c r="AA60" s="73"/>
      <c r="AB60" s="73"/>
      <c r="AC60" s="73"/>
      <c r="AD60" s="73"/>
      <c r="AE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8" t="s">
        <v>128</v>
      </c>
      <c r="W61" s="88">
        <f t="shared" si="3"/>
        <v>10111</v>
      </c>
      <c r="X61" s="80" t="s">
        <v>596</v>
      </c>
      <c r="Y61" s="81"/>
      <c r="Z61" s="73"/>
      <c r="AA61" s="73"/>
      <c r="AB61" s="73"/>
      <c r="AC61" s="73"/>
      <c r="AD61" s="73"/>
      <c r="AE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8" t="s">
        <v>129</v>
      </c>
      <c r="W62" s="88">
        <f t="shared" si="3"/>
        <v>10112</v>
      </c>
      <c r="X62" s="80" t="s">
        <v>596</v>
      </c>
      <c r="Y62" s="81"/>
      <c r="Z62" s="73"/>
      <c r="AA62" s="73"/>
      <c r="AB62" s="73"/>
      <c r="AC62" s="73"/>
      <c r="AD62" s="73"/>
      <c r="AE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8" t="s">
        <v>130</v>
      </c>
      <c r="W63" s="88">
        <f t="shared" si="3"/>
        <v>10113</v>
      </c>
      <c r="X63" s="80" t="s">
        <v>597</v>
      </c>
      <c r="Y63" s="81"/>
      <c r="Z63" s="73"/>
      <c r="AA63" s="73"/>
      <c r="AB63" s="73"/>
      <c r="AC63" s="73"/>
      <c r="AD63" s="73"/>
      <c r="AE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8" t="s">
        <v>132</v>
      </c>
      <c r="W64" s="88">
        <f t="shared" si="3"/>
        <v>10114</v>
      </c>
      <c r="X64" s="80" t="s">
        <v>598</v>
      </c>
      <c r="Y64" s="81"/>
      <c r="Z64" s="73"/>
      <c r="AA64" s="73"/>
      <c r="AB64" s="73"/>
      <c r="AC64" s="73"/>
      <c r="AD64" s="73"/>
      <c r="AE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8" t="s">
        <v>134</v>
      </c>
      <c r="W65" s="88">
        <f t="shared" si="3"/>
        <v>10115</v>
      </c>
      <c r="X65" s="80" t="s">
        <v>599</v>
      </c>
      <c r="Y65" s="81"/>
      <c r="Z65" s="73"/>
      <c r="AA65" s="73"/>
      <c r="AB65" s="73"/>
      <c r="AC65" s="73"/>
      <c r="AD65" s="73"/>
      <c r="AE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8" t="s">
        <v>136</v>
      </c>
      <c r="W66" s="88">
        <f t="shared" si="3"/>
        <v>10116</v>
      </c>
      <c r="X66" s="80" t="s">
        <v>406</v>
      </c>
      <c r="Y66" s="81"/>
      <c r="Z66" s="73"/>
      <c r="AA66" s="73"/>
      <c r="AB66" s="73"/>
      <c r="AC66" s="73"/>
      <c r="AD66" s="73"/>
      <c r="AE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8" t="s">
        <v>138</v>
      </c>
      <c r="W67" s="88">
        <f t="shared" si="3"/>
        <v>10117</v>
      </c>
      <c r="X67" s="80" t="s">
        <v>406</v>
      </c>
      <c r="Y67" s="81"/>
      <c r="Z67" s="73"/>
      <c r="AA67" s="73"/>
      <c r="AB67" s="73"/>
      <c r="AC67" s="73"/>
      <c r="AD67" s="73"/>
      <c r="AE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8" t="s">
        <v>139</v>
      </c>
      <c r="W68" s="88">
        <f t="shared" si="3"/>
        <v>10118</v>
      </c>
      <c r="X68" s="80" t="s">
        <v>406</v>
      </c>
      <c r="Y68" s="81"/>
      <c r="Z68" s="73"/>
      <c r="AA68" s="73"/>
      <c r="AB68" s="73"/>
      <c r="AC68" s="73"/>
      <c r="AD68" s="73"/>
      <c r="AE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8" t="s">
        <v>140</v>
      </c>
      <c r="W69" s="88">
        <f t="shared" si="3"/>
        <v>10119</v>
      </c>
      <c r="X69" s="80" t="s">
        <v>600</v>
      </c>
      <c r="Y69" s="81"/>
      <c r="Z69" s="73"/>
      <c r="AA69" s="73"/>
      <c r="AB69" s="73"/>
      <c r="AC69" s="73"/>
      <c r="AD69" s="73"/>
      <c r="AE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8" t="s">
        <v>142</v>
      </c>
      <c r="W70" s="88">
        <f t="shared" si="3"/>
        <v>10120</v>
      </c>
      <c r="X70" s="80" t="s">
        <v>600</v>
      </c>
      <c r="Y70" s="81"/>
      <c r="Z70" s="73"/>
      <c r="AA70" s="73"/>
      <c r="AB70" s="73"/>
      <c r="AC70" s="73"/>
      <c r="AD70" s="73"/>
      <c r="AE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8" t="s">
        <v>143</v>
      </c>
      <c r="W71" s="88">
        <f t="shared" si="3"/>
        <v>10121</v>
      </c>
      <c r="X71" s="80" t="s">
        <v>600</v>
      </c>
      <c r="Y71" s="81"/>
      <c r="Z71" s="73"/>
      <c r="AA71" s="73"/>
      <c r="AB71" s="73"/>
      <c r="AC71" s="73"/>
      <c r="AD71" s="73"/>
      <c r="AE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8" t="s">
        <v>144</v>
      </c>
      <c r="W72" s="88">
        <f t="shared" si="3"/>
        <v>10122</v>
      </c>
      <c r="X72" s="80" t="s">
        <v>601</v>
      </c>
      <c r="Y72" s="81"/>
      <c r="Z72" s="73"/>
      <c r="AA72" s="73"/>
      <c r="AB72" s="73"/>
      <c r="AC72" s="73"/>
      <c r="AD72" s="73"/>
      <c r="AE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8" t="s">
        <v>146</v>
      </c>
      <c r="W73" s="88">
        <f t="shared" si="3"/>
        <v>10123</v>
      </c>
      <c r="X73" s="80" t="s">
        <v>602</v>
      </c>
      <c r="Y73" s="81"/>
      <c r="Z73" s="73"/>
      <c r="AA73" s="73"/>
      <c r="AB73" s="73"/>
      <c r="AC73" s="73"/>
      <c r="AD73" s="73"/>
      <c r="AE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8" t="s">
        <v>148</v>
      </c>
      <c r="W74" s="89">
        <v>10201.0</v>
      </c>
      <c r="X74" s="80" t="s">
        <v>501</v>
      </c>
      <c r="Y74" s="81"/>
      <c r="Z74" s="73"/>
      <c r="AA74" s="73"/>
      <c r="AB74" s="73"/>
      <c r="AC74" s="73"/>
      <c r="AD74" s="73"/>
      <c r="AE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8" t="s">
        <v>151</v>
      </c>
      <c r="W75" s="90">
        <f t="shared" ref="W75:W99" si="4">W74+1</f>
        <v>10202</v>
      </c>
      <c r="X75" s="80" t="s">
        <v>501</v>
      </c>
      <c r="Y75" s="81"/>
      <c r="Z75" s="73"/>
      <c r="AA75" s="73"/>
      <c r="AB75" s="73"/>
      <c r="AC75" s="73"/>
      <c r="AD75" s="73"/>
      <c r="AE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8" t="s">
        <v>152</v>
      </c>
      <c r="W76" s="90">
        <f t="shared" si="4"/>
        <v>10203</v>
      </c>
      <c r="X76" s="80" t="s">
        <v>501</v>
      </c>
      <c r="Y76" s="81"/>
      <c r="Z76" s="73"/>
      <c r="AA76" s="73"/>
      <c r="AB76" s="73"/>
      <c r="AC76" s="73"/>
      <c r="AD76" s="73"/>
      <c r="AE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8" t="s">
        <v>154</v>
      </c>
      <c r="W77" s="90">
        <f t="shared" si="4"/>
        <v>10204</v>
      </c>
      <c r="X77" s="80" t="s">
        <v>501</v>
      </c>
      <c r="Y77" s="81"/>
      <c r="Z77" s="73"/>
      <c r="AA77" s="73"/>
      <c r="AB77" s="73"/>
      <c r="AC77" s="73"/>
      <c r="AD77" s="73"/>
      <c r="AE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8" t="s">
        <v>155</v>
      </c>
      <c r="W78" s="90">
        <f t="shared" si="4"/>
        <v>10205</v>
      </c>
      <c r="X78" s="80" t="s">
        <v>603</v>
      </c>
      <c r="Y78" s="81"/>
      <c r="Z78" s="73"/>
      <c r="AA78" s="73"/>
      <c r="AB78" s="73"/>
      <c r="AC78" s="73"/>
      <c r="AD78" s="73"/>
      <c r="AE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8" t="s">
        <v>157</v>
      </c>
      <c r="W79" s="90">
        <f t="shared" si="4"/>
        <v>10206</v>
      </c>
      <c r="X79" s="80" t="s">
        <v>603</v>
      </c>
      <c r="Y79" s="81"/>
      <c r="Z79" s="73"/>
      <c r="AA79" s="73"/>
      <c r="AB79" s="73"/>
      <c r="AC79" s="73"/>
      <c r="AD79" s="73"/>
      <c r="AE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8" t="s">
        <v>158</v>
      </c>
      <c r="W80" s="90">
        <f t="shared" si="4"/>
        <v>10207</v>
      </c>
      <c r="X80" s="80" t="s">
        <v>501</v>
      </c>
      <c r="Y80" s="81"/>
      <c r="Z80" s="73"/>
      <c r="AA80" s="73"/>
      <c r="AB80" s="73"/>
      <c r="AC80" s="73"/>
      <c r="AD80" s="73"/>
      <c r="AE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8" t="s">
        <v>160</v>
      </c>
      <c r="W81" s="90">
        <f t="shared" si="4"/>
        <v>10208</v>
      </c>
      <c r="X81" s="80" t="s">
        <v>501</v>
      </c>
      <c r="Y81" s="81"/>
      <c r="Z81" s="73"/>
      <c r="AA81" s="73"/>
      <c r="AB81" s="73"/>
      <c r="AC81" s="73"/>
      <c r="AD81" s="73"/>
      <c r="AE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8" t="s">
        <v>161</v>
      </c>
      <c r="W82" s="90">
        <f t="shared" si="4"/>
        <v>10209</v>
      </c>
      <c r="X82" s="80" t="s">
        <v>603</v>
      </c>
      <c r="Y82" s="81"/>
      <c r="Z82" s="73"/>
      <c r="AA82" s="73"/>
      <c r="AB82" s="73"/>
      <c r="AC82" s="73"/>
      <c r="AD82" s="73"/>
      <c r="AE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8" t="s">
        <v>163</v>
      </c>
      <c r="W83" s="90">
        <f t="shared" si="4"/>
        <v>10210</v>
      </c>
      <c r="X83" s="80" t="s">
        <v>603</v>
      </c>
      <c r="Y83" s="81"/>
      <c r="Z83" s="73"/>
      <c r="AA83" s="73"/>
      <c r="AB83" s="73"/>
      <c r="AC83" s="73"/>
      <c r="AD83" s="73"/>
      <c r="AE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8" t="s">
        <v>164</v>
      </c>
      <c r="W84" s="90">
        <f t="shared" si="4"/>
        <v>10211</v>
      </c>
      <c r="X84" s="80" t="s">
        <v>521</v>
      </c>
      <c r="Y84" s="81"/>
      <c r="Z84" s="73"/>
      <c r="AA84" s="73"/>
      <c r="AB84" s="73"/>
      <c r="AC84" s="73"/>
      <c r="AD84" s="73"/>
      <c r="AE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8" t="s">
        <v>166</v>
      </c>
      <c r="W85" s="90">
        <f t="shared" si="4"/>
        <v>10212</v>
      </c>
      <c r="X85" s="80" t="s">
        <v>521</v>
      </c>
      <c r="Y85" s="81"/>
      <c r="Z85" s="73"/>
      <c r="AA85" s="73"/>
      <c r="AB85" s="73"/>
      <c r="AC85" s="73"/>
      <c r="AD85" s="73"/>
      <c r="AE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8" t="s">
        <v>168</v>
      </c>
      <c r="W86" s="90">
        <f t="shared" si="4"/>
        <v>10213</v>
      </c>
      <c r="X86" s="80" t="s">
        <v>521</v>
      </c>
      <c r="Y86" s="81"/>
      <c r="Z86" s="73"/>
      <c r="AA86" s="73"/>
      <c r="AB86" s="73"/>
      <c r="AC86" s="73"/>
      <c r="AD86" s="73"/>
      <c r="AE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8" t="s">
        <v>169</v>
      </c>
      <c r="W87" s="90">
        <f t="shared" si="4"/>
        <v>10214</v>
      </c>
      <c r="X87" s="80" t="s">
        <v>521</v>
      </c>
      <c r="Y87" s="81"/>
      <c r="Z87" s="73"/>
      <c r="AA87" s="73"/>
      <c r="AB87" s="73"/>
      <c r="AC87" s="73"/>
      <c r="AD87" s="73"/>
      <c r="AE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8" t="s">
        <v>171</v>
      </c>
      <c r="W88" s="90">
        <f t="shared" si="4"/>
        <v>10215</v>
      </c>
      <c r="X88" s="80" t="s">
        <v>521</v>
      </c>
      <c r="Y88" s="81"/>
      <c r="Z88" s="73"/>
      <c r="AA88" s="73"/>
      <c r="AB88" s="73"/>
      <c r="AC88" s="73"/>
      <c r="AD88" s="73"/>
      <c r="AE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8" t="s">
        <v>173</v>
      </c>
      <c r="W89" s="90">
        <f t="shared" si="4"/>
        <v>10216</v>
      </c>
      <c r="X89" s="80" t="s">
        <v>521</v>
      </c>
      <c r="Y89" s="81"/>
      <c r="Z89" s="73"/>
      <c r="AA89" s="73"/>
      <c r="AB89" s="73"/>
      <c r="AC89" s="73"/>
      <c r="AD89" s="73"/>
      <c r="AE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8" t="s">
        <v>175</v>
      </c>
      <c r="W90" s="90">
        <f t="shared" si="4"/>
        <v>10217</v>
      </c>
      <c r="X90" s="80" t="s">
        <v>521</v>
      </c>
      <c r="Y90" s="81"/>
      <c r="Z90" s="73"/>
      <c r="AA90" s="73"/>
      <c r="AB90" s="73"/>
      <c r="AC90" s="73"/>
      <c r="AD90" s="73"/>
      <c r="AE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8" t="s">
        <v>177</v>
      </c>
      <c r="W91" s="90">
        <f t="shared" si="4"/>
        <v>10218</v>
      </c>
      <c r="X91" s="80" t="s">
        <v>521</v>
      </c>
      <c r="Y91" s="81"/>
      <c r="Z91" s="73"/>
      <c r="AA91" s="73"/>
      <c r="AB91" s="73"/>
      <c r="AC91" s="73"/>
      <c r="AD91" s="73"/>
      <c r="AE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8" t="s">
        <v>179</v>
      </c>
      <c r="W92" s="90">
        <f t="shared" si="4"/>
        <v>10219</v>
      </c>
      <c r="X92" s="80" t="s">
        <v>556</v>
      </c>
      <c r="Y92" s="81"/>
      <c r="Z92" s="73"/>
      <c r="AA92" s="73"/>
      <c r="AB92" s="73"/>
      <c r="AC92" s="73"/>
      <c r="AD92" s="73"/>
      <c r="AE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8" t="s">
        <v>181</v>
      </c>
      <c r="W93" s="90">
        <f t="shared" si="4"/>
        <v>10220</v>
      </c>
      <c r="X93" s="80" t="s">
        <v>556</v>
      </c>
      <c r="Y93" s="81"/>
      <c r="Z93" s="73"/>
      <c r="AA93" s="73"/>
      <c r="AB93" s="73"/>
      <c r="AC93" s="73"/>
      <c r="AD93" s="73"/>
      <c r="AE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8" t="s">
        <v>182</v>
      </c>
      <c r="W94" s="90">
        <f t="shared" si="4"/>
        <v>10221</v>
      </c>
      <c r="X94" s="80" t="s">
        <v>556</v>
      </c>
      <c r="Y94" s="81"/>
      <c r="Z94" s="73"/>
      <c r="AA94" s="73"/>
      <c r="AB94" s="73"/>
      <c r="AC94" s="73"/>
      <c r="AD94" s="73"/>
      <c r="AE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8" t="s">
        <v>184</v>
      </c>
      <c r="W95" s="90">
        <f t="shared" si="4"/>
        <v>10222</v>
      </c>
      <c r="X95" s="80" t="s">
        <v>556</v>
      </c>
      <c r="Y95" s="81"/>
      <c r="Z95" s="73"/>
      <c r="AA95" s="73"/>
      <c r="AB95" s="73"/>
      <c r="AC95" s="73"/>
      <c r="AD95" s="73"/>
      <c r="AE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8" t="s">
        <v>185</v>
      </c>
      <c r="W96" s="90">
        <f t="shared" si="4"/>
        <v>10223</v>
      </c>
      <c r="X96" s="80" t="s">
        <v>556</v>
      </c>
      <c r="Y96" s="81"/>
      <c r="Z96" s="73"/>
      <c r="AA96" s="73"/>
      <c r="AB96" s="73"/>
      <c r="AC96" s="73"/>
      <c r="AD96" s="73"/>
      <c r="AE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8" t="s">
        <v>187</v>
      </c>
      <c r="W97" s="90">
        <f t="shared" si="4"/>
        <v>10224</v>
      </c>
      <c r="X97" s="80" t="s">
        <v>556</v>
      </c>
      <c r="Y97" s="81"/>
      <c r="Z97" s="73"/>
      <c r="AA97" s="73"/>
      <c r="AB97" s="73"/>
      <c r="AC97" s="73"/>
      <c r="AD97" s="73"/>
      <c r="AE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8" t="s">
        <v>188</v>
      </c>
      <c r="W98" s="90">
        <f t="shared" si="4"/>
        <v>10225</v>
      </c>
      <c r="X98" s="80" t="s">
        <v>521</v>
      </c>
      <c r="Y98" s="81"/>
      <c r="Z98" s="73"/>
      <c r="AA98" s="73"/>
      <c r="AB98" s="73"/>
      <c r="AC98" s="73"/>
      <c r="AD98" s="73"/>
      <c r="AE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8" t="s">
        <v>190</v>
      </c>
      <c r="W99" s="90">
        <f t="shared" si="4"/>
        <v>10226</v>
      </c>
      <c r="X99" s="80" t="s">
        <v>521</v>
      </c>
      <c r="Y99" s="81"/>
      <c r="Z99" s="73"/>
      <c r="AA99" s="73"/>
      <c r="AB99" s="73"/>
      <c r="AC99" s="73"/>
      <c r="AD99" s="73"/>
      <c r="AE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8" t="s">
        <v>192</v>
      </c>
      <c r="W100" s="87">
        <v>10301.0</v>
      </c>
      <c r="X100" s="80" t="s">
        <v>539</v>
      </c>
      <c r="Y100" s="81"/>
      <c r="Z100" s="73"/>
      <c r="AA100" s="73"/>
      <c r="AB100" s="73"/>
      <c r="AC100" s="73"/>
      <c r="AD100" s="73"/>
      <c r="AE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8" t="s">
        <v>194</v>
      </c>
      <c r="W101" s="88">
        <f t="shared" ref="W101:W108" si="5">W100+1</f>
        <v>10302</v>
      </c>
      <c r="X101" s="80" t="s">
        <v>539</v>
      </c>
      <c r="Y101" s="81"/>
      <c r="Z101" s="73"/>
      <c r="AA101" s="73"/>
      <c r="AB101" s="73"/>
      <c r="AC101" s="73"/>
      <c r="AD101" s="73"/>
      <c r="AE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8" t="s">
        <v>195</v>
      </c>
      <c r="W102" s="88">
        <f t="shared" si="5"/>
        <v>10303</v>
      </c>
      <c r="X102" s="80" t="s">
        <v>539</v>
      </c>
      <c r="Y102" s="81"/>
      <c r="Z102" s="73"/>
      <c r="AA102" s="73"/>
      <c r="AB102" s="73"/>
      <c r="AC102" s="73"/>
      <c r="AD102" s="73"/>
      <c r="AE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8" t="s">
        <v>197</v>
      </c>
      <c r="W103" s="88">
        <f t="shared" si="5"/>
        <v>10304</v>
      </c>
      <c r="X103" s="80" t="s">
        <v>539</v>
      </c>
      <c r="Y103" s="81"/>
      <c r="Z103" s="73"/>
      <c r="AA103" s="73"/>
      <c r="AB103" s="73"/>
      <c r="AC103" s="73"/>
      <c r="AD103" s="73"/>
      <c r="AE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8" t="s">
        <v>199</v>
      </c>
      <c r="W104" s="88">
        <f t="shared" si="5"/>
        <v>10305</v>
      </c>
      <c r="X104" s="80" t="s">
        <v>539</v>
      </c>
      <c r="Y104" s="81"/>
      <c r="Z104" s="73"/>
      <c r="AA104" s="73"/>
      <c r="AB104" s="73"/>
      <c r="AC104" s="73"/>
      <c r="AD104" s="73"/>
      <c r="AE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8" t="s">
        <v>201</v>
      </c>
      <c r="W105" s="88">
        <f t="shared" si="5"/>
        <v>10306</v>
      </c>
      <c r="X105" s="80" t="s">
        <v>539</v>
      </c>
      <c r="Y105" s="81"/>
      <c r="Z105" s="73"/>
      <c r="AA105" s="73"/>
      <c r="AB105" s="73"/>
      <c r="AC105" s="73"/>
      <c r="AD105" s="73"/>
      <c r="AE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8" t="s">
        <v>203</v>
      </c>
      <c r="W106" s="88">
        <f t="shared" si="5"/>
        <v>10307</v>
      </c>
      <c r="X106" s="80" t="s">
        <v>539</v>
      </c>
      <c r="Y106" s="81"/>
      <c r="Z106" s="73"/>
      <c r="AA106" s="73"/>
      <c r="AB106" s="73"/>
      <c r="AC106" s="73"/>
      <c r="AD106" s="73"/>
      <c r="AE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8" t="s">
        <v>204</v>
      </c>
      <c r="W107" s="88">
        <f t="shared" si="5"/>
        <v>10308</v>
      </c>
      <c r="X107" s="80" t="s">
        <v>604</v>
      </c>
      <c r="Y107" s="81"/>
      <c r="Z107" s="73"/>
      <c r="AA107" s="73"/>
      <c r="AB107" s="73"/>
      <c r="AC107" s="73"/>
      <c r="AD107" s="73"/>
      <c r="AE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8" t="s">
        <v>206</v>
      </c>
      <c r="W108" s="88">
        <f t="shared" si="5"/>
        <v>10309</v>
      </c>
      <c r="X108" s="80" t="s">
        <v>604</v>
      </c>
      <c r="Y108" s="81"/>
      <c r="Z108" s="73"/>
      <c r="AA108" s="73"/>
      <c r="AB108" s="73"/>
      <c r="AC108" s="73"/>
      <c r="AD108" s="73"/>
      <c r="AE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8" t="s">
        <v>207</v>
      </c>
      <c r="W109" s="91">
        <v>10401.0</v>
      </c>
      <c r="X109" s="80" t="s">
        <v>605</v>
      </c>
      <c r="Y109" s="81"/>
      <c r="Z109" s="73"/>
      <c r="AA109" s="73"/>
      <c r="AB109" s="73"/>
      <c r="AC109" s="73"/>
      <c r="AD109" s="73"/>
      <c r="AE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8" t="s">
        <v>210</v>
      </c>
      <c r="W110" s="92">
        <f t="shared" ref="W110:W116" si="6">W109+1</f>
        <v>10402</v>
      </c>
      <c r="X110" s="80" t="s">
        <v>606</v>
      </c>
      <c r="Y110" s="81"/>
      <c r="Z110" s="73"/>
      <c r="AA110" s="73"/>
      <c r="AB110" s="73"/>
      <c r="AC110" s="73"/>
      <c r="AD110" s="73"/>
      <c r="AE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8" t="s">
        <v>212</v>
      </c>
      <c r="W111" s="92">
        <f t="shared" si="6"/>
        <v>10403</v>
      </c>
      <c r="X111" s="80" t="s">
        <v>607</v>
      </c>
      <c r="Y111" s="81"/>
      <c r="Z111" s="73"/>
      <c r="AA111" s="73"/>
      <c r="AB111" s="73"/>
      <c r="AC111" s="73"/>
      <c r="AD111" s="73"/>
      <c r="AE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8" t="s">
        <v>214</v>
      </c>
      <c r="W112" s="92">
        <f t="shared" si="6"/>
        <v>10404</v>
      </c>
      <c r="X112" s="80" t="s">
        <v>608</v>
      </c>
      <c r="Y112" s="81"/>
      <c r="Z112" s="73"/>
      <c r="AA112" s="73"/>
      <c r="AB112" s="73"/>
      <c r="AC112" s="73"/>
      <c r="AD112" s="73"/>
      <c r="AE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8" t="s">
        <v>216</v>
      </c>
      <c r="W113" s="92">
        <f t="shared" si="6"/>
        <v>10405</v>
      </c>
      <c r="X113" s="80" t="s">
        <v>609</v>
      </c>
      <c r="Y113" s="81"/>
      <c r="Z113" s="73"/>
      <c r="AA113" s="73"/>
      <c r="AB113" s="73"/>
      <c r="AC113" s="73"/>
      <c r="AD113" s="73"/>
      <c r="AE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8" t="s">
        <v>218</v>
      </c>
      <c r="W114" s="92">
        <f t="shared" si="6"/>
        <v>10406</v>
      </c>
      <c r="X114" s="80" t="s">
        <v>606</v>
      </c>
      <c r="Y114" s="81"/>
      <c r="Z114" s="73"/>
      <c r="AA114" s="73"/>
      <c r="AB114" s="73"/>
      <c r="AC114" s="73"/>
      <c r="AD114" s="73"/>
      <c r="AE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8" t="s">
        <v>220</v>
      </c>
      <c r="W115" s="92">
        <f t="shared" si="6"/>
        <v>10407</v>
      </c>
      <c r="X115" s="80" t="s">
        <v>610</v>
      </c>
      <c r="Y115" s="81"/>
      <c r="Z115" s="73"/>
      <c r="AA115" s="73"/>
      <c r="AB115" s="73"/>
      <c r="AC115" s="73"/>
      <c r="AD115" s="73"/>
      <c r="AE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8" t="s">
        <v>222</v>
      </c>
      <c r="W116" s="92">
        <f t="shared" si="6"/>
        <v>10408</v>
      </c>
      <c r="X116" s="80" t="s">
        <v>611</v>
      </c>
      <c r="Y116" s="81"/>
      <c r="Z116" s="73"/>
      <c r="AA116" s="73"/>
      <c r="AB116" s="73"/>
      <c r="AC116" s="73"/>
      <c r="AD116" s="73"/>
      <c r="AE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