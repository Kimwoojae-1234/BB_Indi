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arData" sheetId="1" r:id="rId4"/>
    <sheet state="visible" name="GearAttributes" sheetId="2" r:id="rId5"/>
    <sheet state="visible" name="#level_value" sheetId="3" r:id="rId6"/>
    <sheet state="visible" name="#조건테이블" sheetId="4" r:id="rId7"/>
    <sheet state="visible" name="장비구상용" sheetId="5" r:id="rId8"/>
  </sheets>
  <definedNames/>
  <calcPr/>
  <extLst>
    <ext uri="GoogleSheetsCustomDataVersion2">
      <go:sheetsCustomData xmlns:go="http://customooxmlschemas.google.com/" r:id="rId9" roundtripDataChecksum="py7uyRnHLhLJ1ITdaIyV6OyOIW89xiXa66qxm1GjaX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2">
      <text>
        <t xml:space="preserve">#
======</t>
      </text>
    </comment>
  </commentList>
</comments>
</file>

<file path=xl/sharedStrings.xml><?xml version="1.0" encoding="utf-8"?>
<sst xmlns="http://schemas.openxmlformats.org/spreadsheetml/2006/main" count="1415" uniqueCount="447">
  <si>
    <t>idx</t>
  </si>
  <si>
    <t>name_id</t>
  </si>
  <si>
    <t>#name_id</t>
  </si>
  <si>
    <t>desc_id</t>
  </si>
  <si>
    <t>#desc_id</t>
  </si>
  <si>
    <t>gearType</t>
  </si>
  <si>
    <t>#장비 타입</t>
  </si>
  <si>
    <t>att_refID</t>
  </si>
  <si>
    <t>#능력치 설명</t>
  </si>
  <si>
    <t>추가스킬1</t>
  </si>
  <si>
    <t>추가스킬2</t>
  </si>
  <si>
    <t>att_lv</t>
  </si>
  <si>
    <t>글러브1</t>
  </si>
  <si>
    <t>수비 +{0}</t>
  </si>
  <si>
    <t>Glove</t>
  </si>
  <si>
    <t>손에 장착</t>
  </si>
  <si>
    <t>글러브2</t>
  </si>
  <si>
    <t>글러브3</t>
  </si>
  <si>
    <t>글러브4</t>
  </si>
  <si>
    <t>글러브5</t>
  </si>
  <si>
    <t>스킬글러브1</t>
  </si>
  <si>
    <t>수비 +{0}, Lv{1}  {2}스킬 장착</t>
  </si>
  <si>
    <t>스킬글러브2</t>
  </si>
  <si>
    <t>스킬글러브3</t>
  </si>
  <si>
    <t>스킬글러브4</t>
  </si>
  <si>
    <t>스킬글러브5</t>
  </si>
  <si>
    <t>스파이크1</t>
  </si>
  <si>
    <t>주루 +{0}</t>
  </si>
  <si>
    <t>Spike</t>
  </si>
  <si>
    <t>발에 장착</t>
  </si>
  <si>
    <t>스파이크2</t>
  </si>
  <si>
    <t>스파이크3</t>
  </si>
  <si>
    <t>스파이크4</t>
  </si>
  <si>
    <t>스파이크5</t>
  </si>
  <si>
    <t>스킬스파이크1</t>
  </si>
  <si>
    <t>주루 +{0}, Lv{1}  {2}스킬 장착</t>
  </si>
  <si>
    <t>스킬스파이크2</t>
  </si>
  <si>
    <t>스킬스파이크3</t>
  </si>
  <si>
    <t>스킬스파이크4</t>
  </si>
  <si>
    <t>스킬스파이크5</t>
  </si>
  <si>
    <t>헬멧1</t>
  </si>
  <si>
    <t>선구 +{0}</t>
  </si>
  <si>
    <t>Helmet</t>
  </si>
  <si>
    <t>머리에 장착</t>
  </si>
  <si>
    <t>헬멧2</t>
  </si>
  <si>
    <t>헬멧3</t>
  </si>
  <si>
    <t>헬멧4</t>
  </si>
  <si>
    <t>헬멧5</t>
  </si>
  <si>
    <t>스킬 헬멧1</t>
  </si>
  <si>
    <t>선구 +{0}, Lv{1}  {2}스킬 장착</t>
  </si>
  <si>
    <t>스킬 헬멧2</t>
  </si>
  <si>
    <t>스킬 헬멧3</t>
  </si>
  <si>
    <t>스킬 헬멧4</t>
  </si>
  <si>
    <t>스킬 헬멧5</t>
  </si>
  <si>
    <t>언더셔츠1</t>
  </si>
  <si>
    <t>송구 +{0}</t>
  </si>
  <si>
    <t>Accessory</t>
  </si>
  <si>
    <t>악세사리</t>
  </si>
  <si>
    <t>언더셔츠2</t>
  </si>
  <si>
    <t>언더셔츠3</t>
  </si>
  <si>
    <t>언더셔츠4</t>
  </si>
  <si>
    <t>언더셔츠5</t>
  </si>
  <si>
    <t>스킬언더셔츠1</t>
  </si>
  <si>
    <t>송구 +{0}, Lv{1}  {2}스킬 장착</t>
  </si>
  <si>
    <t>스킬언더셔츠2</t>
  </si>
  <si>
    <t>스킬언더셔츠3</t>
  </si>
  <si>
    <t>스킬언더셔츠4</t>
  </si>
  <si>
    <t>스킬언더셔츠5</t>
  </si>
  <si>
    <t>글라스1</t>
  </si>
  <si>
    <t>컨택+{0}</t>
  </si>
  <si>
    <t>글라스2</t>
  </si>
  <si>
    <t>글라스3</t>
  </si>
  <si>
    <t>글라스4</t>
  </si>
  <si>
    <t>글라스5</t>
  </si>
  <si>
    <t>스킬글라스1</t>
  </si>
  <si>
    <t>컨택 +{0}, Lv{1}  {2}스킬 장착</t>
  </si>
  <si>
    <t>스킬글라스2</t>
  </si>
  <si>
    <t>스킬글라스3</t>
  </si>
  <si>
    <t>스킬글라스4</t>
  </si>
  <si>
    <t>스킬글라스5</t>
  </si>
  <si>
    <t>배팅글러브1</t>
  </si>
  <si>
    <t>파워+{0}</t>
  </si>
  <si>
    <t>배팅글러브2</t>
  </si>
  <si>
    <t>배팅글러브3</t>
  </si>
  <si>
    <t>배팅글러브4</t>
  </si>
  <si>
    <t>배팅글러브5</t>
  </si>
  <si>
    <t>스킬배팅글러브1</t>
  </si>
  <si>
    <t>파워 +{0}, Lv{1}  {2}스킬 장착</t>
  </si>
  <si>
    <t>스킬배팅글러브2</t>
  </si>
  <si>
    <t>스킬배팅글러브3</t>
  </si>
  <si>
    <t>스킬배팅글러브4</t>
  </si>
  <si>
    <t>스킬배팅글러브5</t>
  </si>
  <si>
    <t>파워트레이너1</t>
  </si>
  <si>
    <t>파워트레이너2</t>
  </si>
  <si>
    <t>파워트레이너3</t>
  </si>
  <si>
    <t>파워트레이너4</t>
  </si>
  <si>
    <t>파워트레이너5</t>
  </si>
  <si>
    <t>스킬트레이너1</t>
  </si>
  <si>
    <t>스킬트레이너2</t>
  </si>
  <si>
    <t>스킬트레이너3</t>
  </si>
  <si>
    <t>스킬트레이너4</t>
  </si>
  <si>
    <t>스킬트레이너5</t>
  </si>
  <si>
    <t>수비트레이너1</t>
  </si>
  <si>
    <t>수비트레이너2</t>
  </si>
  <si>
    <t>수비트레이너3</t>
  </si>
  <si>
    <t>수비트레이너4</t>
  </si>
  <si>
    <t>수비트레이너5</t>
  </si>
  <si>
    <t>민첩성트레이너1</t>
  </si>
  <si>
    <t>민첩성트레이너2</t>
  </si>
  <si>
    <t>민첩성트레이너3</t>
  </si>
  <si>
    <t>민첩성트레이너4</t>
  </si>
  <si>
    <t>민첩성트레이너5</t>
  </si>
  <si>
    <t>ref_idx</t>
  </si>
  <si>
    <t>pow</t>
  </si>
  <si>
    <t>con</t>
  </si>
  <si>
    <t>vis</t>
  </si>
  <si>
    <t>fld</t>
  </si>
  <si>
    <t>thw</t>
  </si>
  <si>
    <t>spd</t>
  </si>
  <si>
    <t>skill1</t>
  </si>
  <si>
    <t>skill2</t>
  </si>
  <si>
    <t>설명</t>
  </si>
  <si>
    <t>추가스킬 1</t>
  </si>
  <si>
    <t>#파워증가</t>
  </si>
  <si>
    <t>#컨택증가</t>
  </si>
  <si>
    <t>#선구증가</t>
  </si>
  <si>
    <t>#수비증가</t>
  </si>
  <si>
    <t>#송구증가</t>
  </si>
  <si>
    <t>#주루증가</t>
  </si>
  <si>
    <t>#파워+컨택</t>
  </si>
  <si>
    <t>#파워+선구</t>
  </si>
  <si>
    <t>#파워+수비</t>
  </si>
  <si>
    <t>#파워+송구</t>
  </si>
  <si>
    <t>#파워+주루</t>
  </si>
  <si>
    <t>#컨택+선구</t>
  </si>
  <si>
    <t>#컨택+수비</t>
  </si>
  <si>
    <t>#컨택+송구</t>
  </si>
  <si>
    <t>#컨택+주루</t>
  </si>
  <si>
    <t>#선구+수비</t>
  </si>
  <si>
    <t>#선구+송구</t>
  </si>
  <si>
    <t>#수비+송구</t>
  </si>
  <si>
    <t>#수비+주루</t>
  </si>
  <si>
    <t>#송구+주루</t>
  </si>
  <si>
    <t>#파워+컨택+선구</t>
  </si>
  <si>
    <t>#파워+선구+수비</t>
  </si>
  <si>
    <t>#파워+수비+송구</t>
  </si>
  <si>
    <t>#파워+송구+주루</t>
  </si>
  <si>
    <t>#컨택+선구+수비</t>
  </si>
  <si>
    <t>#컨택+수비+송구</t>
  </si>
  <si>
    <t>#컨택+송구+주루</t>
  </si>
  <si>
    <t>#선구+수비+송구</t>
  </si>
  <si>
    <t>#선구+송구+주루</t>
  </si>
  <si>
    <t>lv</t>
  </si>
  <si>
    <t>Key</t>
  </si>
  <si>
    <t>#Key</t>
  </si>
  <si>
    <t>Con</t>
  </si>
  <si>
    <t>#Condition</t>
  </si>
  <si>
    <t>Per</t>
  </si>
  <si>
    <t>Val</t>
  </si>
  <si>
    <t>Fielding</t>
  </si>
  <si>
    <t>NoCondition</t>
  </si>
  <si>
    <t>InfieldDiving</t>
  </si>
  <si>
    <t>val이 확률</t>
  </si>
  <si>
    <t>OutfieldDiving</t>
  </si>
  <si>
    <t>SkillGear</t>
  </si>
  <si>
    <t>포수 블록킹lv3</t>
  </si>
  <si>
    <t>스킬레벨</t>
  </si>
  <si>
    <t>#스킬 idx</t>
  </si>
  <si>
    <t>Speed</t>
  </si>
  <si>
    <t>병살저지lv3</t>
  </si>
  <si>
    <t>내야안타lv3</t>
  </si>
  <si>
    <t>홈돌진lv3</t>
  </si>
  <si>
    <t>Vision</t>
  </si>
  <si>
    <t>CheckSwing</t>
  </si>
  <si>
    <t>확률</t>
  </si>
  <si>
    <t>TimingPlus</t>
  </si>
  <si>
    <t>미구현</t>
  </si>
  <si>
    <t>Throwing</t>
  </si>
  <si>
    <t>내야송구lv3</t>
  </si>
  <si>
    <t>어시스트lv3</t>
  </si>
  <si>
    <t>포수도루lv3</t>
  </si>
  <si>
    <t>Contact</t>
  </si>
  <si>
    <t>낮경기lv3</t>
  </si>
  <si>
    <t>밤경기lv3</t>
  </si>
  <si>
    <t>Power</t>
  </si>
  <si>
    <t>라인드라이브lv3</t>
  </si>
  <si>
    <t>플라이볼lv3</t>
  </si>
  <si>
    <t>HittingSpeed</t>
  </si>
  <si>
    <t>#KOBSkillCondition 스킬조건</t>
  </si>
  <si>
    <t>#KOBGearKey 장비키</t>
  </si>
  <si>
    <t>#KOBGearType</t>
  </si>
  <si>
    <t>#KOBRarity</t>
  </si>
  <si>
    <t>#SKILL</t>
  </si>
  <si>
    <t>관여 능력</t>
  </si>
  <si>
    <t>Hitting</t>
  </si>
  <si>
    <t>COMMON</t>
  </si>
  <si>
    <t>집중력1</t>
  </si>
  <si>
    <t>선구</t>
  </si>
  <si>
    <t>Cumulative</t>
  </si>
  <si>
    <t>Pysical</t>
  </si>
  <si>
    <t>RARE</t>
  </si>
  <si>
    <t>집중력2</t>
  </si>
  <si>
    <t>RightPitcher</t>
  </si>
  <si>
    <t>Special</t>
  </si>
  <si>
    <t>EPIC</t>
  </si>
  <si>
    <t>집중력3</t>
  </si>
  <si>
    <t>LeftPitcher</t>
  </si>
  <si>
    <t>Wide</t>
  </si>
  <si>
    <t>LEGENDARY</t>
  </si>
  <si>
    <t>우완킬러1</t>
  </si>
  <si>
    <t>컨택</t>
  </si>
  <si>
    <t>AfterHit</t>
  </si>
  <si>
    <t>BLACK</t>
  </si>
  <si>
    <t>우완킬러2</t>
  </si>
  <si>
    <t>MainActivated</t>
  </si>
  <si>
    <t>우완킬러3</t>
  </si>
  <si>
    <t>Walkoff</t>
  </si>
  <si>
    <t>RunningSkill</t>
  </si>
  <si>
    <t>좌완킬러1</t>
  </si>
  <si>
    <t>파워</t>
  </si>
  <si>
    <t>FirstPitch</t>
  </si>
  <si>
    <t>좌완킬러2</t>
  </si>
  <si>
    <t>BreakballHit</t>
  </si>
  <si>
    <t>#체크스윙 별도</t>
  </si>
  <si>
    <t>좌완킬러3</t>
  </si>
  <si>
    <t>FastballHit</t>
  </si>
  <si>
    <t>AllHitting</t>
  </si>
  <si>
    <t>끝내기안타</t>
  </si>
  <si>
    <t>LinedriveHit</t>
  </si>
  <si>
    <t>AllDefense</t>
  </si>
  <si>
    <t>끝내기홈런</t>
  </si>
  <si>
    <t>FlyHit</t>
  </si>
  <si>
    <t>FieldSkill</t>
  </si>
  <si>
    <t>초구1</t>
  </si>
  <si>
    <t>RunAndHit</t>
  </si>
  <si>
    <t>장비장착시 스킬</t>
  </si>
  <si>
    <t>초구2</t>
  </si>
  <si>
    <t>HomeMatch</t>
  </si>
  <si>
    <t>#내야 다이빙 별도</t>
  </si>
  <si>
    <t>초구3</t>
  </si>
  <si>
    <t>AwayMatch</t>
  </si>
  <si>
    <t>OutFieldDiving</t>
  </si>
  <si>
    <t>#외야 다이빙 별도</t>
  </si>
  <si>
    <t>변화구1</t>
  </si>
  <si>
    <t>타구속도</t>
  </si>
  <si>
    <t>DayMatch</t>
  </si>
  <si>
    <t>#타이밍 플러스 별도</t>
  </si>
  <si>
    <t>변화구2</t>
  </si>
  <si>
    <t>NightMatch</t>
  </si>
  <si>
    <t>직구1</t>
  </si>
  <si>
    <t>UnderPitcher</t>
  </si>
  <si>
    <t>직구2</t>
  </si>
  <si>
    <t>TwoOut</t>
  </si>
  <si>
    <t>라인드라이브</t>
  </si>
  <si>
    <t>TwoStrike</t>
  </si>
  <si>
    <t>플라이볼</t>
  </si>
  <si>
    <t>Chance</t>
  </si>
  <si>
    <t>히트앤드런</t>
  </si>
  <si>
    <t>Losing1</t>
  </si>
  <si>
    <t>홈경기</t>
  </si>
  <si>
    <t>Losing2</t>
  </si>
  <si>
    <t>원정경기</t>
  </si>
  <si>
    <t>InningFirst</t>
  </si>
  <si>
    <t>낮경기</t>
  </si>
  <si>
    <t>선구+파워</t>
  </si>
  <si>
    <t>FullBase</t>
  </si>
  <si>
    <t>밤경기</t>
  </si>
  <si>
    <t>선구+컨택</t>
  </si>
  <si>
    <t>Winning1</t>
  </si>
  <si>
    <t>서브마린킬러</t>
  </si>
  <si>
    <t>Winning2</t>
  </si>
  <si>
    <t>강심장1</t>
  </si>
  <si>
    <t>NoRunner</t>
  </si>
  <si>
    <t>강심장2</t>
  </si>
  <si>
    <t>ResultOut</t>
  </si>
  <si>
    <t>강심장3</t>
  </si>
  <si>
    <t>ResultHit</t>
  </si>
  <si>
    <t>투스트라이크1</t>
  </si>
  <si>
    <t>FullCount</t>
  </si>
  <si>
    <t>투스트라이크2</t>
  </si>
  <si>
    <t>ResultBB</t>
  </si>
  <si>
    <t>투스트라이크3</t>
  </si>
  <si>
    <t>ResultHR</t>
  </si>
  <si>
    <t>찬스1</t>
  </si>
  <si>
    <t>ResultCheck</t>
  </si>
  <si>
    <t>찬스2</t>
  </si>
  <si>
    <t>ResultStrike</t>
  </si>
  <si>
    <t>찬스3</t>
  </si>
  <si>
    <t>DefenseCatcher</t>
  </si>
  <si>
    <t>언더독1</t>
  </si>
  <si>
    <t>DefenseInfield</t>
  </si>
  <si>
    <t>언더독2</t>
  </si>
  <si>
    <t>DefenseOutField</t>
  </si>
  <si>
    <t>이닝 첫타자1</t>
  </si>
  <si>
    <t>DefenseAll</t>
  </si>
  <si>
    <t>이닝 첫타자2</t>
  </si>
  <si>
    <t>OnRunning</t>
  </si>
  <si>
    <t>이닝 첫타자3</t>
  </si>
  <si>
    <t>WideBatter</t>
  </si>
  <si>
    <t>만루</t>
  </si>
  <si>
    <t>WideDefense</t>
  </si>
  <si>
    <t>영양가1</t>
  </si>
  <si>
    <t>WideRunning</t>
  </si>
  <si>
    <t>영양가2</t>
  </si>
  <si>
    <t>Inning123</t>
  </si>
  <si>
    <t>주자없음1</t>
  </si>
  <si>
    <t>Inning456</t>
  </si>
  <si>
    <t>주자없음2</t>
  </si>
  <si>
    <t>Inning789</t>
  </si>
  <si>
    <t>주자없음3</t>
  </si>
  <si>
    <t>분노맨G1</t>
  </si>
  <si>
    <t>아웃시 게이지</t>
  </si>
  <si>
    <t>분노맨G2</t>
  </si>
  <si>
    <t>분노맨G3</t>
  </si>
  <si>
    <t>분위기맨G1</t>
  </si>
  <si>
    <t>안타시 게이지</t>
  </si>
  <si>
    <t>분위기맨G2</t>
  </si>
  <si>
    <t>분위기맨G3</t>
  </si>
  <si>
    <t>불안감G1</t>
  </si>
  <si>
    <t>지고있는경우 게이지</t>
  </si>
  <si>
    <t>불안감G2</t>
  </si>
  <si>
    <t>불안감G3</t>
  </si>
  <si>
    <t>안정감G1</t>
  </si>
  <si>
    <t>이기고 있는 경우 게이지</t>
  </si>
  <si>
    <t>안정감G2</t>
  </si>
  <si>
    <t>안정감G3</t>
  </si>
  <si>
    <t>풀카운트G</t>
  </si>
  <si>
    <t>풀카운트 시 게이지</t>
  </si>
  <si>
    <t>포볼G</t>
  </si>
  <si>
    <t>포볼시 게이지</t>
  </si>
  <si>
    <t>홈런G</t>
  </si>
  <si>
    <t>홈런시 게이지</t>
  </si>
  <si>
    <t>찬스G1</t>
  </si>
  <si>
    <t>찬스시 게이지</t>
  </si>
  <si>
    <t>찬스G2</t>
  </si>
  <si>
    <t>찬스G3</t>
  </si>
  <si>
    <t>노주자G1</t>
  </si>
  <si>
    <t>주자없을시 게이지</t>
  </si>
  <si>
    <t>노주자G2</t>
  </si>
  <si>
    <t>노주자G3</t>
  </si>
  <si>
    <t>선구성공G</t>
  </si>
  <si>
    <t>선구 성공시 게이지</t>
  </si>
  <si>
    <t>스트라이크G</t>
  </si>
  <si>
    <t>스트라이크 시 게이지</t>
  </si>
  <si>
    <t>포수수비1</t>
  </si>
  <si>
    <t>수비</t>
  </si>
  <si>
    <t>포수수비2</t>
  </si>
  <si>
    <t>내야수비1</t>
  </si>
  <si>
    <t>내야수비2</t>
  </si>
  <si>
    <t>타고난내야수1</t>
  </si>
  <si>
    <t>수비+송구</t>
  </si>
  <si>
    <t>타고난내야수2</t>
  </si>
  <si>
    <t>외야수비1</t>
  </si>
  <si>
    <t>외야수비2</t>
  </si>
  <si>
    <t>타고난외야수1</t>
  </si>
  <si>
    <t>타고난외야수2</t>
  </si>
  <si>
    <t>포수블러킹</t>
  </si>
  <si>
    <t>필드스킬</t>
  </si>
  <si>
    <t>포수도루1</t>
  </si>
  <si>
    <t>포수도루2</t>
  </si>
  <si>
    <t>내야송구스킬</t>
  </si>
  <si>
    <t>내야수비스킬</t>
  </si>
  <si>
    <t>어시스트</t>
  </si>
  <si>
    <t>외야수비스킬</t>
  </si>
  <si>
    <t>홈런캐치</t>
  </si>
  <si>
    <t>포수송구1</t>
  </si>
  <si>
    <t>송구</t>
  </si>
  <si>
    <t>포수송구2</t>
  </si>
  <si>
    <t>내야송구1</t>
  </si>
  <si>
    <t>내야송구2</t>
  </si>
  <si>
    <t>외야송구1</t>
  </si>
  <si>
    <t>외야송구2</t>
  </si>
  <si>
    <t>철저한수비</t>
  </si>
  <si>
    <t>안정된수비</t>
  </si>
  <si>
    <t>도루1</t>
  </si>
  <si>
    <t>주루스킬</t>
  </si>
  <si>
    <t>도루2</t>
  </si>
  <si>
    <t>병살저지</t>
  </si>
  <si>
    <t>내야안타</t>
  </si>
  <si>
    <t>홈돌진</t>
  </si>
  <si>
    <t>주루플레이1</t>
  </si>
  <si>
    <t>주루플레이2</t>
  </si>
  <si>
    <t>주력1</t>
  </si>
  <si>
    <t>주력</t>
  </si>
  <si>
    <t>주력2</t>
  </si>
  <si>
    <t>슬러거W</t>
  </si>
  <si>
    <t>파워 광역</t>
  </si>
  <si>
    <t>컨택터W</t>
  </si>
  <si>
    <t>컨택 광역</t>
  </si>
  <si>
    <t>홀쭉이포지션W</t>
  </si>
  <si>
    <t>수비 광역</t>
  </si>
  <si>
    <t>주루포지션W</t>
  </si>
  <si>
    <t>주루 광역</t>
  </si>
  <si>
    <t>찬스W</t>
  </si>
  <si>
    <t>찬스 광역</t>
  </si>
  <si>
    <t>경기종반W</t>
  </si>
  <si>
    <t>배팅코치W</t>
  </si>
  <si>
    <t>타구속도 광역</t>
  </si>
  <si>
    <t>매니저W</t>
  </si>
  <si>
    <t>선구 관역</t>
  </si>
  <si>
    <t>일부 장비는 스킬을 장착해줌 Lv1~Lv3까지</t>
  </si>
  <si>
    <t>장비 타입은 글러브/스파이크/헬멧/셔츠/글라스/배팅글로브/게이지/트레이너의 7종이다</t>
  </si>
  <si>
    <t>같은장비 두개를 장착할 수 없도록 세팅시 종류별 1개만 장착가능하게 세팅해준다</t>
  </si>
  <si>
    <t>이름</t>
  </si>
  <si>
    <t>특징</t>
  </si>
  <si>
    <t>Lv1</t>
  </si>
  <si>
    <t>Lv2</t>
  </si>
  <si>
    <t>Lv3</t>
  </si>
  <si>
    <t>내야스킬글러브1</t>
  </si>
  <si>
    <t>다이빙캐치 Lv3</t>
  </si>
  <si>
    <t>1레벨이 Max</t>
  </si>
  <si>
    <t>외야스킬글러브2</t>
  </si>
  <si>
    <t>포수스킬글러브3</t>
  </si>
  <si>
    <t>포수블록킹 Lv3</t>
  </si>
  <si>
    <t>병살저지 Lv3</t>
  </si>
  <si>
    <t>내야안타 Lv3</t>
  </si>
  <si>
    <t>홈돌진 Lv3</t>
  </si>
  <si>
    <t>체크스윙 Lv3</t>
  </si>
  <si>
    <t>타이밍 plus</t>
  </si>
  <si>
    <t>미구상</t>
  </si>
  <si>
    <t>내야송구 Lv3</t>
  </si>
  <si>
    <t>외야 어시스트 Lv3</t>
  </si>
  <si>
    <t>포수 도루2 Lv3</t>
  </si>
  <si>
    <t>스킬 글라스1</t>
  </si>
  <si>
    <t>낮경기 Lv3</t>
  </si>
  <si>
    <t>스킬 글라스2</t>
  </si>
  <si>
    <t>밤경기 Lv3</t>
  </si>
  <si>
    <t>스킬 글라스3</t>
  </si>
  <si>
    <t>스킬 배팅글러브1</t>
  </si>
  <si>
    <t>라인드라이브 Lv3</t>
  </si>
  <si>
    <t>스킬 배팅글러브2</t>
  </si>
  <si>
    <t>플라이볼 Lv3</t>
  </si>
  <si>
    <t>스킬 배팅글러브3</t>
  </si>
  <si>
    <t>게이지 헬퍼1</t>
  </si>
  <si>
    <t>게이지 속도 증가</t>
  </si>
  <si>
    <t>게이지 헬퍼2</t>
  </si>
  <si>
    <t>파워 트레이너</t>
  </si>
  <si>
    <t>파워+타구속도</t>
  </si>
  <si>
    <t>스킬 트레이너</t>
  </si>
  <si>
    <t>컨택+선구</t>
  </si>
  <si>
    <t>수비 트레이너</t>
  </si>
  <si>
    <t>민첩성 트레이너</t>
  </si>
  <si>
    <t>파워+스피드</t>
  </si>
  <si>
    <t>파워 트레이너2</t>
  </si>
  <si>
    <t>스킬 트레이너2</t>
  </si>
  <si>
    <t>수비 트레이너2</t>
  </si>
  <si>
    <t>민첩성 트레이너2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</si>
</sst>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color theme="1"/>
      <name val="Calibri"/>
    </font>
    <font>
      <sz val="9.0"/>
      <color theme="1"/>
      <name val="Calibri"/>
    </font>
    <font>
      <sz val="11.0"/>
      <color rgb="FF000000"/>
      <name val="Arial"/>
    </font>
    <font>
      <sz val="9.0"/>
      <color rgb="FF000000"/>
      <name val="Arial"/>
    </font>
    <font>
      <sz val="9.0"/>
      <color rgb="FF000000"/>
      <name val="Docs-Calibri"/>
    </font>
    <font>
      <sz val="9.0"/>
      <color rgb="FF000000"/>
      <name val="Calibri"/>
    </font>
    <font>
      <sz val="9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theme="1"/>
      <name val="Malgun Gothic"/>
    </font>
    <font>
      <b/>
      <sz val="11.0"/>
      <color rgb="FF0000FF"/>
      <name val="Calibri"/>
    </font>
    <font>
      <sz val="11.0"/>
      <color rgb="FF000000"/>
      <name val="Calibri"/>
    </font>
    <font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1" numFmtId="0" xfId="0" applyFill="1" applyFont="1"/>
    <xf borderId="0" fillId="0" fontId="1" numFmtId="0" xfId="0" applyAlignment="1" applyFont="1">
      <alignment readingOrder="0"/>
    </xf>
    <xf borderId="0" fillId="4" fontId="1" numFmtId="0" xfId="0" applyFill="1" applyFont="1"/>
    <xf borderId="0" fillId="4" fontId="2" numFmtId="0" xfId="0" applyAlignment="1" applyFont="1">
      <alignment readingOrder="0"/>
    </xf>
    <xf borderId="0" fillId="5" fontId="3" numFmtId="0" xfId="0" applyAlignment="1" applyFill="1" applyFont="1">
      <alignment readingOrder="0" shrinkToFit="0" wrapText="0"/>
    </xf>
    <xf borderId="0" fillId="4" fontId="4" numFmtId="0" xfId="0" applyAlignment="1" applyFont="1">
      <alignment shrinkToFit="0" wrapText="0"/>
    </xf>
    <xf borderId="0" fillId="5" fontId="4" numFmtId="0" xfId="0" applyAlignment="1" applyFont="1">
      <alignment readingOrder="0" shrinkToFit="0" wrapText="0"/>
    </xf>
    <xf borderId="0" fillId="5" fontId="4" numFmtId="0" xfId="0" applyAlignment="1" applyFont="1">
      <alignment shrinkToFit="0" wrapText="0"/>
    </xf>
    <xf borderId="0" fillId="4" fontId="5" numFmtId="0" xfId="0" applyAlignment="1" applyFont="1">
      <alignment horizontal="left" readingOrder="0"/>
    </xf>
    <xf borderId="0" fillId="4" fontId="6" numFmtId="0" xfId="0" applyAlignment="1" applyFont="1">
      <alignment horizontal="left" readingOrder="0"/>
    </xf>
    <xf borderId="0" fillId="4" fontId="7" numFmtId="0" xfId="0" applyAlignment="1" applyFont="1">
      <alignment readingOrder="0"/>
    </xf>
    <xf borderId="1" fillId="6" fontId="8" numFmtId="0" xfId="0" applyAlignment="1" applyBorder="1" applyFill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1" fillId="0" fontId="8" numFmtId="0" xfId="0" applyAlignment="1" applyBorder="1" applyFont="1">
      <alignment horizontal="right" readingOrder="0" vertical="bottom"/>
    </xf>
    <xf borderId="1" fillId="0" fontId="8" numFmtId="0" xfId="0" applyAlignment="1" applyBorder="1" applyFont="1">
      <alignment horizontal="right" vertical="bottom"/>
    </xf>
    <xf borderId="1" fillId="0" fontId="8" numFmtId="0" xfId="0" applyAlignment="1" applyBorder="1" applyFont="1">
      <alignment vertical="bottom"/>
    </xf>
    <xf borderId="0" fillId="0" fontId="9" numFmtId="0" xfId="0" applyFont="1"/>
    <xf borderId="0" fillId="0" fontId="1" numFmtId="0" xfId="0" applyFont="1"/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7" fontId="1" numFmtId="0" xfId="0" applyAlignment="1" applyBorder="1" applyFill="1" applyFont="1">
      <alignment readingOrder="0"/>
    </xf>
    <xf borderId="1" fillId="4" fontId="1" numFmtId="0" xfId="0" applyAlignment="1" applyBorder="1" applyFont="1">
      <alignment readingOrder="0"/>
    </xf>
    <xf borderId="0" fillId="0" fontId="10" numFmtId="0" xfId="0" applyAlignment="1" applyFont="1">
      <alignment vertical="bottom"/>
    </xf>
    <xf borderId="1" fillId="7" fontId="1" numFmtId="0" xfId="0" applyBorder="1" applyFont="1"/>
    <xf borderId="1" fillId="6" fontId="11" numFmtId="0" xfId="0" applyAlignment="1" applyBorder="1" applyFont="1">
      <alignment horizontal="right" vertical="bottom"/>
    </xf>
    <xf borderId="1" fillId="4" fontId="8" numFmtId="0" xfId="0" applyAlignment="1" applyBorder="1" applyFont="1">
      <alignment vertical="bottom"/>
    </xf>
    <xf borderId="0" fillId="4" fontId="8" numFmtId="0" xfId="0" applyAlignment="1" applyFont="1">
      <alignment vertical="bottom"/>
    </xf>
    <xf borderId="1" fillId="6" fontId="8" numFmtId="0" xfId="0" applyAlignment="1" applyBorder="1" applyFont="1">
      <alignment horizontal="right" vertical="bottom"/>
    </xf>
    <xf borderId="2" fillId="0" fontId="12" numFmtId="0" xfId="0" applyAlignment="1" applyBorder="1" applyFont="1">
      <alignment readingOrder="0" vertical="bottom"/>
    </xf>
    <xf borderId="3" fillId="0" fontId="12" numFmtId="0" xfId="0" applyAlignment="1" applyBorder="1" applyFont="1">
      <alignment horizontal="right" readingOrder="0" vertical="bottom"/>
    </xf>
    <xf borderId="1" fillId="0" fontId="8" numFmtId="0" xfId="0" applyAlignment="1" applyBorder="1" applyFont="1">
      <alignment vertical="bottom"/>
    </xf>
    <xf borderId="4" fillId="0" fontId="8" numFmtId="0" xfId="0" applyAlignment="1" applyBorder="1" applyFont="1">
      <alignment horizontal="right" vertical="bottom"/>
    </xf>
    <xf borderId="0" fillId="0" fontId="8" numFmtId="0" xfId="0" applyAlignment="1" applyFont="1">
      <alignment shrinkToFit="0" vertical="bottom" wrapText="0"/>
    </xf>
    <xf borderId="2" fillId="0" fontId="8" numFmtId="0" xfId="0" applyAlignment="1" applyBorder="1" applyFont="1">
      <alignment vertical="bottom"/>
    </xf>
    <xf borderId="3" fillId="0" fontId="8" numFmtId="0" xfId="0" applyAlignment="1" applyBorder="1" applyFont="1">
      <alignment horizontal="right" vertical="bottom"/>
    </xf>
    <xf borderId="0" fillId="0" fontId="13" numFmtId="0" xfId="0" applyAlignment="1" applyFont="1">
      <alignment shrinkToFit="0" vertical="bottom" wrapText="0"/>
    </xf>
    <xf borderId="1" fillId="4" fontId="1" numFmtId="0" xfId="0" applyBorder="1" applyFont="1"/>
    <xf borderId="1" fillId="8" fontId="11" numFmtId="0" xfId="0" applyAlignment="1" applyBorder="1" applyFill="1" applyFont="1">
      <alignment horizontal="right" vertical="bottom"/>
    </xf>
    <xf borderId="1" fillId="8" fontId="8" numFmtId="0" xfId="0" applyAlignment="1" applyBorder="1" applyFont="1">
      <alignment horizontal="right" vertical="bottom"/>
    </xf>
    <xf borderId="1" fillId="9" fontId="11" numFmtId="0" xfId="0" applyAlignment="1" applyBorder="1" applyFill="1" applyFont="1">
      <alignment horizontal="right" vertical="bottom"/>
    </xf>
    <xf borderId="1" fillId="9" fontId="8" numFmtId="0" xfId="0" applyAlignment="1" applyBorder="1" applyFont="1">
      <alignment horizontal="right" vertical="bottom"/>
    </xf>
    <xf borderId="1" fillId="10" fontId="11" numFmtId="0" xfId="0" applyAlignment="1" applyBorder="1" applyFill="1" applyFont="1">
      <alignment horizontal="right" vertical="bottom"/>
    </xf>
    <xf borderId="1" fillId="10" fontId="8" numFmtId="0" xfId="0" applyAlignment="1" applyBorder="1" applyFont="1">
      <alignment horizontal="right" vertical="bottom"/>
    </xf>
    <xf borderId="0" fillId="2" fontId="8" numFmtId="0" xfId="0" applyAlignment="1" applyFont="1">
      <alignment vertical="bottom"/>
    </xf>
    <xf borderId="0" fillId="2" fontId="8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7" fontId="9" numFmtId="0" xfId="0" applyAlignment="1" applyFont="1">
      <alignment readingOrder="0"/>
    </xf>
    <xf borderId="0" fillId="7" fontId="9" numFmtId="0" xfId="0" applyFont="1"/>
    <xf borderId="0" fillId="0" fontId="9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4" width="28.57"/>
    <col customWidth="1" min="5" max="5" width="40.14"/>
    <col customWidth="1" min="6" max="6" width="21.29"/>
    <col customWidth="1" min="7" max="7" width="24.86"/>
    <col customWidth="1" min="8" max="8" width="20.14"/>
    <col customWidth="1" min="9" max="11" width="22.0"/>
    <col customWidth="1" min="12" max="12" width="22.29"/>
    <col customWidth="1" min="13" max="13" width="31.86"/>
    <col customWidth="1" min="14" max="29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</row>
    <row r="2" ht="16.5" customHeight="1">
      <c r="A2" s="4">
        <v>20001.0</v>
      </c>
      <c r="B2" s="5" t="str">
        <f t="shared" ref="B2:B81" si="1">"GearName."&amp;A2</f>
        <v>GearName.20001</v>
      </c>
      <c r="C2" s="6" t="s">
        <v>12</v>
      </c>
      <c r="D2" s="5" t="str">
        <f t="shared" ref="D2:D81" si="2">"GearDesc."&amp;A2</f>
        <v>GearDesc.20001</v>
      </c>
      <c r="E2" s="6" t="s">
        <v>13</v>
      </c>
      <c r="F2" s="4" t="s">
        <v>14</v>
      </c>
      <c r="G2" s="6" t="s">
        <v>15</v>
      </c>
      <c r="H2" s="7">
        <v>104.0</v>
      </c>
      <c r="I2" s="8" t="str">
        <f>IFERROR(VLOOKUP(H2, GearAttributes!$A$1:$J$3001, 10, FALSE),"")</f>
        <v>#수비증가</v>
      </c>
      <c r="J2" s="8" t="str">
        <f>IFERROR(VLOOKUP(H2, GearAttributes!$A$1:$K$3001, 11, FALSE),"")</f>
        <v/>
      </c>
      <c r="K2" s="8" t="str">
        <f>IFERROR(VLOOKUP(H2, GearAttributes!$A$1:$L$3001, 12, FALSE),"")</f>
        <v/>
      </c>
      <c r="L2" s="9">
        <v>1.0</v>
      </c>
      <c r="M2" s="10" t="str">
        <f>IFERROR(VLOOKUP(#REF!, '#level_value'!$A$1:$K$669, 11, FALSE),"")</f>
        <v/>
      </c>
    </row>
    <row r="3" ht="16.5" customHeight="1">
      <c r="A3" s="4">
        <f t="shared" ref="A3:A81" si="3">A2+1</f>
        <v>20002</v>
      </c>
      <c r="B3" s="5" t="str">
        <f t="shared" si="1"/>
        <v>GearName.20002</v>
      </c>
      <c r="C3" s="6" t="s">
        <v>16</v>
      </c>
      <c r="D3" s="5" t="str">
        <f t="shared" si="2"/>
        <v>GearDesc.20002</v>
      </c>
      <c r="E3" s="6" t="s">
        <v>13</v>
      </c>
      <c r="F3" s="4" t="s">
        <v>14</v>
      </c>
      <c r="G3" s="6" t="s">
        <v>15</v>
      </c>
      <c r="H3" s="7">
        <v>104.0</v>
      </c>
      <c r="I3" s="8" t="str">
        <f>IFERROR(VLOOKUP(H3, GearAttributes!$A$1:$J$3001, 10, FALSE),"")</f>
        <v>#수비증가</v>
      </c>
      <c r="J3" s="8" t="str">
        <f>IFERROR(VLOOKUP(H3, GearAttributes!$A$1:$K$3001, 11, FALSE),"")</f>
        <v/>
      </c>
      <c r="K3" s="8" t="str">
        <f>IFERROR(VLOOKUP(H3, GearAttributes!$A$1:$L$3001, 12, FALSE),"")</f>
        <v/>
      </c>
      <c r="L3" s="9">
        <v>2.0</v>
      </c>
      <c r="M3" s="10" t="str">
        <f>IFERROR(VLOOKUP(#REF!, '#level_value'!$A$1:$K$669, 11, FALSE),"")</f>
        <v/>
      </c>
    </row>
    <row r="4" ht="16.5" customHeight="1">
      <c r="A4" s="4">
        <f t="shared" si="3"/>
        <v>20003</v>
      </c>
      <c r="B4" s="5" t="str">
        <f t="shared" si="1"/>
        <v>GearName.20003</v>
      </c>
      <c r="C4" s="6" t="s">
        <v>17</v>
      </c>
      <c r="D4" s="5" t="str">
        <f t="shared" si="2"/>
        <v>GearDesc.20003</v>
      </c>
      <c r="E4" s="6" t="s">
        <v>13</v>
      </c>
      <c r="F4" s="4" t="s">
        <v>14</v>
      </c>
      <c r="G4" s="6" t="s">
        <v>15</v>
      </c>
      <c r="H4" s="7">
        <v>104.0</v>
      </c>
      <c r="I4" s="8" t="str">
        <f>IFERROR(VLOOKUP(H4, GearAttributes!$A$1:$J$3001, 10, FALSE),"")</f>
        <v>#수비증가</v>
      </c>
      <c r="J4" s="8" t="str">
        <f>IFERROR(VLOOKUP(H4, GearAttributes!$A$1:$K$3001, 11, FALSE),"")</f>
        <v/>
      </c>
      <c r="K4" s="8" t="str">
        <f>IFERROR(VLOOKUP(H4, GearAttributes!$A$1:$L$3001, 12, FALSE),"")</f>
        <v/>
      </c>
      <c r="L4" s="9">
        <v>3.0</v>
      </c>
      <c r="M4" s="10" t="str">
        <f>IFERROR(VLOOKUP(#REF!, '#level_value'!$A$1:$K$669, 11, FALSE),"")</f>
        <v/>
      </c>
    </row>
    <row r="5" ht="16.5" customHeight="1">
      <c r="A5" s="4">
        <f t="shared" si="3"/>
        <v>20004</v>
      </c>
      <c r="B5" s="5" t="str">
        <f t="shared" si="1"/>
        <v>GearName.20004</v>
      </c>
      <c r="C5" s="6" t="s">
        <v>18</v>
      </c>
      <c r="D5" s="5" t="str">
        <f t="shared" si="2"/>
        <v>GearDesc.20004</v>
      </c>
      <c r="E5" s="6" t="s">
        <v>13</v>
      </c>
      <c r="F5" s="4" t="s">
        <v>14</v>
      </c>
      <c r="G5" s="6" t="s">
        <v>15</v>
      </c>
      <c r="H5" s="7">
        <v>104.0</v>
      </c>
      <c r="I5" s="8" t="str">
        <f>IFERROR(VLOOKUP(H5, GearAttributes!$A$1:$J$3001, 10, FALSE),"")</f>
        <v>#수비증가</v>
      </c>
      <c r="J5" s="8" t="str">
        <f>IFERROR(VLOOKUP(H5, GearAttributes!$A$1:$K$3001, 11, FALSE),"")</f>
        <v/>
      </c>
      <c r="K5" s="8" t="str">
        <f>IFERROR(VLOOKUP(H5, GearAttributes!$A$1:$L$3001, 12, FALSE),"")</f>
        <v/>
      </c>
      <c r="L5" s="9">
        <v>4.0</v>
      </c>
      <c r="M5" s="10" t="str">
        <f>IFERROR(VLOOKUP(#REF!, '#level_value'!$A$1:$K$669, 11, FALSE),"")</f>
        <v/>
      </c>
    </row>
    <row r="6" ht="16.5" customHeight="1">
      <c r="A6" s="4">
        <f t="shared" si="3"/>
        <v>20005</v>
      </c>
      <c r="B6" s="5" t="str">
        <f t="shared" si="1"/>
        <v>GearName.20005</v>
      </c>
      <c r="C6" s="6" t="s">
        <v>19</v>
      </c>
      <c r="D6" s="5" t="str">
        <f t="shared" si="2"/>
        <v>GearDesc.20005</v>
      </c>
      <c r="E6" s="6" t="s">
        <v>13</v>
      </c>
      <c r="F6" s="4" t="s">
        <v>14</v>
      </c>
      <c r="G6" s="6" t="s">
        <v>15</v>
      </c>
      <c r="H6" s="7">
        <v>104.0</v>
      </c>
      <c r="I6" s="8" t="str">
        <f>IFERROR(VLOOKUP(H6, GearAttributes!$A$1:$J$3001, 10, FALSE),"")</f>
        <v>#수비증가</v>
      </c>
      <c r="J6" s="8" t="str">
        <f>IFERROR(VLOOKUP(H6, GearAttributes!$A$1:$K$3001, 11, FALSE),"")</f>
        <v/>
      </c>
      <c r="K6" s="8" t="str">
        <f>IFERROR(VLOOKUP(H6, GearAttributes!$A$1:$L$3001, 12, FALSE),"")</f>
        <v/>
      </c>
      <c r="L6" s="9">
        <v>5.0</v>
      </c>
      <c r="M6" s="10" t="str">
        <f>IFERROR(VLOOKUP(#REF!, '#level_value'!$A$1:$K$669, 11, FALSE),"")</f>
        <v/>
      </c>
    </row>
    <row r="7" ht="16.5" customHeight="1">
      <c r="A7" s="4">
        <f t="shared" si="3"/>
        <v>20006</v>
      </c>
      <c r="B7" s="5" t="str">
        <f t="shared" si="1"/>
        <v>GearName.20006</v>
      </c>
      <c r="C7" s="6" t="s">
        <v>20</v>
      </c>
      <c r="D7" s="5" t="str">
        <f t="shared" si="2"/>
        <v>GearDesc.20006</v>
      </c>
      <c r="E7" s="6" t="s">
        <v>21</v>
      </c>
      <c r="F7" s="4" t="s">
        <v>14</v>
      </c>
      <c r="G7" s="6" t="s">
        <v>15</v>
      </c>
      <c r="H7" s="7">
        <v>134.0</v>
      </c>
      <c r="I7" s="8" t="str">
        <f>IFERROR(VLOOKUP(H7, GearAttributes!$A$1:$J$3001, 10, FALSE),"")</f>
        <v>#수비증가</v>
      </c>
      <c r="J7" s="8" t="str">
        <f>IFERROR(VLOOKUP(H7, GearAttributes!$A$1:$K$3001, 11, FALSE),"")</f>
        <v>내야수비1</v>
      </c>
      <c r="K7" s="8" t="str">
        <f>IFERROR(VLOOKUP(H7, GearAttributes!$A$1:$L$3001, 12, FALSE),"")</f>
        <v/>
      </c>
      <c r="L7" s="9">
        <v>1.0</v>
      </c>
      <c r="M7" s="10" t="str">
        <f>IFERROR(VLOOKUP(#REF!, '#level_value'!$A$1:$K$669, 11, FALSE),"")</f>
        <v/>
      </c>
    </row>
    <row r="8" ht="16.5" customHeight="1">
      <c r="A8" s="4">
        <f t="shared" si="3"/>
        <v>20007</v>
      </c>
      <c r="B8" s="5" t="str">
        <f t="shared" si="1"/>
        <v>GearName.20007</v>
      </c>
      <c r="C8" s="6" t="s">
        <v>22</v>
      </c>
      <c r="D8" s="5" t="str">
        <f t="shared" si="2"/>
        <v>GearDesc.20007</v>
      </c>
      <c r="E8" s="6" t="s">
        <v>21</v>
      </c>
      <c r="F8" s="4" t="s">
        <v>14</v>
      </c>
      <c r="G8" s="6" t="s">
        <v>15</v>
      </c>
      <c r="H8" s="7">
        <v>134.0</v>
      </c>
      <c r="I8" s="8" t="str">
        <f>IFERROR(VLOOKUP(H8, GearAttributes!$A$1:$J$3001, 10, FALSE),"")</f>
        <v>#수비증가</v>
      </c>
      <c r="J8" s="8" t="str">
        <f>IFERROR(VLOOKUP(H8, GearAttributes!$A$1:$K$3001, 11, FALSE),"")</f>
        <v>내야수비1</v>
      </c>
      <c r="K8" s="8" t="str">
        <f>IFERROR(VLOOKUP(H8, GearAttributes!$A$1:$L$3001, 12, FALSE),"")</f>
        <v/>
      </c>
      <c r="L8" s="9">
        <v>2.0</v>
      </c>
      <c r="M8" s="10" t="str">
        <f>IFERROR(VLOOKUP(#REF!, '#level_value'!$A$1:$K$669, 11, FALSE),"")</f>
        <v/>
      </c>
    </row>
    <row r="9" ht="16.5" customHeight="1">
      <c r="A9" s="4">
        <f t="shared" si="3"/>
        <v>20008</v>
      </c>
      <c r="B9" s="5" t="str">
        <f t="shared" si="1"/>
        <v>GearName.20008</v>
      </c>
      <c r="C9" s="6" t="s">
        <v>23</v>
      </c>
      <c r="D9" s="5" t="str">
        <f t="shared" si="2"/>
        <v>GearDesc.20008</v>
      </c>
      <c r="E9" s="6" t="s">
        <v>21</v>
      </c>
      <c r="F9" s="4" t="s">
        <v>14</v>
      </c>
      <c r="G9" s="6" t="s">
        <v>15</v>
      </c>
      <c r="H9" s="7">
        <v>134.0</v>
      </c>
      <c r="I9" s="8" t="str">
        <f>IFERROR(VLOOKUP(H9, GearAttributes!$A$1:$J$3001, 10, FALSE),"")</f>
        <v>#수비증가</v>
      </c>
      <c r="J9" s="8" t="str">
        <f>IFERROR(VLOOKUP(H9, GearAttributes!$A$1:$K$3001, 11, FALSE),"")</f>
        <v>내야수비1</v>
      </c>
      <c r="K9" s="8" t="str">
        <f>IFERROR(VLOOKUP(H9, GearAttributes!$A$1:$L$3001, 12, FALSE),"")</f>
        <v/>
      </c>
      <c r="L9" s="9">
        <v>3.0</v>
      </c>
      <c r="M9" s="10" t="str">
        <f>IFERROR(VLOOKUP(#REF!, '#level_value'!$A$1:$K$669, 11, FALSE),"")</f>
        <v/>
      </c>
    </row>
    <row r="10" ht="16.5" customHeight="1">
      <c r="A10" s="4">
        <f t="shared" si="3"/>
        <v>20009</v>
      </c>
      <c r="B10" s="5" t="str">
        <f t="shared" si="1"/>
        <v>GearName.20009</v>
      </c>
      <c r="C10" s="6" t="s">
        <v>24</v>
      </c>
      <c r="D10" s="5" t="str">
        <f t="shared" si="2"/>
        <v>GearDesc.20009</v>
      </c>
      <c r="E10" s="6" t="s">
        <v>21</v>
      </c>
      <c r="F10" s="4" t="s">
        <v>14</v>
      </c>
      <c r="G10" s="6" t="s">
        <v>15</v>
      </c>
      <c r="H10" s="7">
        <v>134.0</v>
      </c>
      <c r="I10" s="8" t="str">
        <f>IFERROR(VLOOKUP(H10, GearAttributes!$A$1:$J$3001, 10, FALSE),"")</f>
        <v>#수비증가</v>
      </c>
      <c r="J10" s="8" t="str">
        <f>IFERROR(VLOOKUP(H10, GearAttributes!$A$1:$K$3001, 11, FALSE),"")</f>
        <v>내야수비1</v>
      </c>
      <c r="K10" s="8" t="str">
        <f>IFERROR(VLOOKUP(H10, GearAttributes!$A$1:$L$3001, 12, FALSE),"")</f>
        <v/>
      </c>
      <c r="L10" s="9">
        <v>4.0</v>
      </c>
      <c r="M10" s="10" t="str">
        <f>IFERROR(VLOOKUP(#REF!, '#level_value'!$A$1:$K$669, 11, FALSE),"")</f>
        <v/>
      </c>
    </row>
    <row r="11" ht="16.5" customHeight="1">
      <c r="A11" s="4">
        <f t="shared" si="3"/>
        <v>20010</v>
      </c>
      <c r="B11" s="5" t="str">
        <f t="shared" si="1"/>
        <v>GearName.20010</v>
      </c>
      <c r="C11" s="6" t="s">
        <v>25</v>
      </c>
      <c r="D11" s="5" t="str">
        <f t="shared" si="2"/>
        <v>GearDesc.20010</v>
      </c>
      <c r="E11" s="6" t="s">
        <v>21</v>
      </c>
      <c r="F11" s="4" t="s">
        <v>14</v>
      </c>
      <c r="G11" s="6" t="s">
        <v>15</v>
      </c>
      <c r="H11" s="7">
        <v>134.0</v>
      </c>
      <c r="I11" s="8" t="str">
        <f>IFERROR(VLOOKUP(H11, GearAttributes!$A$1:$J$3001, 10, FALSE),"")</f>
        <v>#수비증가</v>
      </c>
      <c r="J11" s="8" t="str">
        <f>IFERROR(VLOOKUP(H11, GearAttributes!$A$1:$K$3001, 11, FALSE),"")</f>
        <v>내야수비1</v>
      </c>
      <c r="K11" s="8" t="str">
        <f>IFERROR(VLOOKUP(H11, GearAttributes!$A$1:$L$3001, 12, FALSE),"")</f>
        <v/>
      </c>
      <c r="L11" s="9">
        <v>5.0</v>
      </c>
      <c r="M11" s="10" t="str">
        <f>IFERROR(VLOOKUP(#REF!, '#level_value'!$A$1:$K$669, 11, FALSE),"")</f>
        <v/>
      </c>
    </row>
    <row r="12" ht="16.5" customHeight="1">
      <c r="A12" s="4">
        <f t="shared" si="3"/>
        <v>20011</v>
      </c>
      <c r="B12" s="5" t="str">
        <f t="shared" si="1"/>
        <v>GearName.20011</v>
      </c>
      <c r="C12" s="6" t="s">
        <v>26</v>
      </c>
      <c r="D12" s="5" t="str">
        <f t="shared" si="2"/>
        <v>GearDesc.20011</v>
      </c>
      <c r="E12" s="6" t="s">
        <v>27</v>
      </c>
      <c r="F12" s="4" t="s">
        <v>28</v>
      </c>
      <c r="G12" s="6" t="s">
        <v>29</v>
      </c>
      <c r="H12" s="7">
        <v>106.0</v>
      </c>
      <c r="I12" s="8" t="str">
        <f>IFERROR(VLOOKUP(H12, GearAttributes!$A$1:$J$3001, 10, FALSE),"")</f>
        <v>#주루증가</v>
      </c>
      <c r="J12" s="8" t="str">
        <f>IFERROR(VLOOKUP(H12, GearAttributes!$A$1:$K$3001, 11, FALSE),"")</f>
        <v/>
      </c>
      <c r="K12" s="8" t="str">
        <f>IFERROR(VLOOKUP(H12, GearAttributes!$A$1:$L$3001, 12, FALSE),"")</f>
        <v/>
      </c>
      <c r="L12" s="9">
        <v>1.0</v>
      </c>
      <c r="M12" s="10" t="str">
        <f>IFERROR(VLOOKUP(#REF!, '#level_value'!$A$1:$K$669, 11, FALSE),"")</f>
        <v/>
      </c>
    </row>
    <row r="13" ht="16.5" customHeight="1">
      <c r="A13" s="4">
        <f t="shared" si="3"/>
        <v>20012</v>
      </c>
      <c r="B13" s="5" t="str">
        <f t="shared" si="1"/>
        <v>GearName.20012</v>
      </c>
      <c r="C13" s="6" t="s">
        <v>30</v>
      </c>
      <c r="D13" s="5" t="str">
        <f t="shared" si="2"/>
        <v>GearDesc.20012</v>
      </c>
      <c r="E13" s="11" t="s">
        <v>27</v>
      </c>
      <c r="F13" s="4" t="s">
        <v>28</v>
      </c>
      <c r="G13" s="6" t="s">
        <v>29</v>
      </c>
      <c r="H13" s="7">
        <v>106.0</v>
      </c>
      <c r="I13" s="8" t="str">
        <f>IFERROR(VLOOKUP(H13, GearAttributes!$A$1:$J$3001, 10, FALSE),"")</f>
        <v>#주루증가</v>
      </c>
      <c r="J13" s="8" t="str">
        <f>IFERROR(VLOOKUP(H13, GearAttributes!$A$1:$K$3001, 11, FALSE),"")</f>
        <v/>
      </c>
      <c r="K13" s="8" t="str">
        <f>IFERROR(VLOOKUP(H13, GearAttributes!$A$1:$L$3001, 12, FALSE),"")</f>
        <v/>
      </c>
      <c r="L13" s="9">
        <v>2.0</v>
      </c>
      <c r="M13" s="10" t="str">
        <f>IFERROR(VLOOKUP(#REF!, '#level_value'!$A$1:$K$669, 11, FALSE),"")</f>
        <v/>
      </c>
    </row>
    <row r="14" ht="16.5" customHeight="1">
      <c r="A14" s="4">
        <f t="shared" si="3"/>
        <v>20013</v>
      </c>
      <c r="B14" s="5" t="str">
        <f t="shared" si="1"/>
        <v>GearName.20013</v>
      </c>
      <c r="C14" s="6" t="s">
        <v>31</v>
      </c>
      <c r="D14" s="5" t="str">
        <f t="shared" si="2"/>
        <v>GearDesc.20013</v>
      </c>
      <c r="E14" s="12" t="s">
        <v>27</v>
      </c>
      <c r="F14" s="4" t="s">
        <v>28</v>
      </c>
      <c r="G14" s="6" t="s">
        <v>29</v>
      </c>
      <c r="H14" s="7">
        <v>106.0</v>
      </c>
      <c r="I14" s="8" t="str">
        <f>IFERROR(VLOOKUP(H14, GearAttributes!$A$1:$J$3001, 10, FALSE),"")</f>
        <v>#주루증가</v>
      </c>
      <c r="J14" s="8" t="str">
        <f>IFERROR(VLOOKUP(H14, GearAttributes!$A$1:$K$3001, 11, FALSE),"")</f>
        <v/>
      </c>
      <c r="K14" s="8" t="str">
        <f>IFERROR(VLOOKUP(H14, GearAttributes!$A$1:$L$3001, 12, FALSE),"")</f>
        <v/>
      </c>
      <c r="L14" s="9">
        <v>3.0</v>
      </c>
      <c r="M14" s="10" t="str">
        <f>IFERROR(VLOOKUP(#REF!, '#level_value'!$A$1:$K$669, 11, FALSE),"")</f>
        <v/>
      </c>
    </row>
    <row r="15" ht="16.5" customHeight="1">
      <c r="A15" s="4">
        <f t="shared" si="3"/>
        <v>20014</v>
      </c>
      <c r="B15" s="5" t="str">
        <f t="shared" si="1"/>
        <v>GearName.20014</v>
      </c>
      <c r="C15" s="6" t="s">
        <v>32</v>
      </c>
      <c r="D15" s="5" t="str">
        <f t="shared" si="2"/>
        <v>GearDesc.20014</v>
      </c>
      <c r="E15" s="12" t="s">
        <v>27</v>
      </c>
      <c r="F15" s="4" t="s">
        <v>28</v>
      </c>
      <c r="G15" s="6" t="s">
        <v>29</v>
      </c>
      <c r="H15" s="7">
        <v>106.0</v>
      </c>
      <c r="I15" s="8" t="str">
        <f>IFERROR(VLOOKUP(H15, GearAttributes!$A$1:$J$3001, 10, FALSE),"")</f>
        <v>#주루증가</v>
      </c>
      <c r="J15" s="8" t="str">
        <f>IFERROR(VLOOKUP(H15, GearAttributes!$A$1:$K$3001, 11, FALSE),"")</f>
        <v/>
      </c>
      <c r="K15" s="8" t="str">
        <f>IFERROR(VLOOKUP(H15, GearAttributes!$A$1:$L$3001, 12, FALSE),"")</f>
        <v/>
      </c>
      <c r="L15" s="9">
        <v>3.0</v>
      </c>
      <c r="M15" s="10" t="str">
        <f>IFERROR(VLOOKUP(#REF!, '#level_value'!$A$1:$K$669, 11, FALSE),"")</f>
        <v/>
      </c>
    </row>
    <row r="16" ht="16.5" customHeight="1">
      <c r="A16" s="4">
        <f t="shared" si="3"/>
        <v>20015</v>
      </c>
      <c r="B16" s="5" t="str">
        <f t="shared" si="1"/>
        <v>GearName.20015</v>
      </c>
      <c r="C16" s="6" t="s">
        <v>33</v>
      </c>
      <c r="D16" s="5" t="str">
        <f t="shared" si="2"/>
        <v>GearDesc.20015</v>
      </c>
      <c r="E16" s="12" t="s">
        <v>27</v>
      </c>
      <c r="F16" s="4" t="s">
        <v>28</v>
      </c>
      <c r="G16" s="6" t="s">
        <v>29</v>
      </c>
      <c r="H16" s="7">
        <v>106.0</v>
      </c>
      <c r="I16" s="8" t="str">
        <f>IFERROR(VLOOKUP(H16, GearAttributes!$A$1:$J$3001, 10, FALSE),"")</f>
        <v>#주루증가</v>
      </c>
      <c r="J16" s="8" t="str">
        <f>IFERROR(VLOOKUP(H16, GearAttributes!$A$1:$K$3001, 11, FALSE),"")</f>
        <v/>
      </c>
      <c r="K16" s="8" t="str">
        <f>IFERROR(VLOOKUP(H16, GearAttributes!$A$1:$L$3001, 12, FALSE),"")</f>
        <v/>
      </c>
      <c r="L16" s="9">
        <v>3.0</v>
      </c>
      <c r="M16" s="10" t="str">
        <f>IFERROR(VLOOKUP(#REF!, '#level_value'!$A$1:$K$669, 11, FALSE),"")</f>
        <v/>
      </c>
    </row>
    <row r="17" ht="16.5" customHeight="1">
      <c r="A17" s="4">
        <f t="shared" si="3"/>
        <v>20016</v>
      </c>
      <c r="B17" s="5" t="str">
        <f t="shared" si="1"/>
        <v>GearName.20016</v>
      </c>
      <c r="C17" s="6" t="s">
        <v>34</v>
      </c>
      <c r="D17" s="5" t="str">
        <f t="shared" si="2"/>
        <v>GearDesc.20016</v>
      </c>
      <c r="E17" s="6" t="s">
        <v>35</v>
      </c>
      <c r="F17" s="4" t="s">
        <v>28</v>
      </c>
      <c r="G17" s="6" t="s">
        <v>29</v>
      </c>
      <c r="H17" s="7">
        <v>136.0</v>
      </c>
      <c r="I17" s="8" t="str">
        <f>IFERROR(VLOOKUP(H17, GearAttributes!$A$1:$J$3001, 10, FALSE),"")</f>
        <v>#주루증가</v>
      </c>
      <c r="J17" s="8" t="str">
        <f>IFERROR(VLOOKUP(H17, GearAttributes!$A$1:$K$3001, 11, FALSE),"")</f>
        <v>주력1</v>
      </c>
      <c r="K17" s="8" t="str">
        <f>IFERROR(VLOOKUP(H17, GearAttributes!$A$1:$L$3001, 12, FALSE),"")</f>
        <v/>
      </c>
      <c r="L17" s="9">
        <v>1.0</v>
      </c>
      <c r="M17" s="10" t="str">
        <f>IFERROR(VLOOKUP(#REF!, '#level_value'!$A$1:$K$669, 11, FALSE),"")</f>
        <v/>
      </c>
    </row>
    <row r="18" ht="16.5" customHeight="1">
      <c r="A18" s="4">
        <f t="shared" si="3"/>
        <v>20017</v>
      </c>
      <c r="B18" s="5" t="str">
        <f t="shared" si="1"/>
        <v>GearName.20017</v>
      </c>
      <c r="C18" s="6" t="s">
        <v>36</v>
      </c>
      <c r="D18" s="5" t="str">
        <f t="shared" si="2"/>
        <v>GearDesc.20017</v>
      </c>
      <c r="E18" s="6" t="s">
        <v>35</v>
      </c>
      <c r="F18" s="4" t="s">
        <v>28</v>
      </c>
      <c r="G18" s="6" t="s">
        <v>29</v>
      </c>
      <c r="H18" s="7">
        <v>136.0</v>
      </c>
      <c r="I18" s="8" t="str">
        <f>IFERROR(VLOOKUP(H18, GearAttributes!$A$1:$J$3001, 10, FALSE),"")</f>
        <v>#주루증가</v>
      </c>
      <c r="J18" s="8" t="str">
        <f>IFERROR(VLOOKUP(H18, GearAttributes!$A$1:$K$3001, 11, FALSE),"")</f>
        <v>주력1</v>
      </c>
      <c r="K18" s="8" t="str">
        <f>IFERROR(VLOOKUP(H18, GearAttributes!$A$1:$L$3001, 12, FALSE),"")</f>
        <v/>
      </c>
      <c r="L18" s="9">
        <v>2.0</v>
      </c>
      <c r="M18" s="10" t="str">
        <f>IFERROR(VLOOKUP(#REF!, '#level_value'!$A$1:$K$669, 11, FALSE),"")</f>
        <v/>
      </c>
    </row>
    <row r="19" ht="16.5" customHeight="1">
      <c r="A19" s="4">
        <f t="shared" si="3"/>
        <v>20018</v>
      </c>
      <c r="B19" s="5" t="str">
        <f t="shared" si="1"/>
        <v>GearName.20018</v>
      </c>
      <c r="C19" s="6" t="s">
        <v>37</v>
      </c>
      <c r="D19" s="5" t="str">
        <f t="shared" si="2"/>
        <v>GearDesc.20018</v>
      </c>
      <c r="E19" s="6" t="s">
        <v>35</v>
      </c>
      <c r="F19" s="4" t="s">
        <v>28</v>
      </c>
      <c r="G19" s="6" t="s">
        <v>29</v>
      </c>
      <c r="H19" s="7">
        <v>136.0</v>
      </c>
      <c r="I19" s="8" t="str">
        <f>IFERROR(VLOOKUP(H19, GearAttributes!$A$1:$J$3001, 10, FALSE),"")</f>
        <v>#주루증가</v>
      </c>
      <c r="J19" s="8" t="str">
        <f>IFERROR(VLOOKUP(H19, GearAttributes!$A$1:$K$3001, 11, FALSE),"")</f>
        <v>주력1</v>
      </c>
      <c r="K19" s="8" t="str">
        <f>IFERROR(VLOOKUP(H19, GearAttributes!$A$1:$L$3001, 12, FALSE),"")</f>
        <v/>
      </c>
      <c r="L19" s="9">
        <v>3.0</v>
      </c>
      <c r="M19" s="10" t="str">
        <f>IFERROR(VLOOKUP(#REF!, '#level_value'!$A$1:$K$669, 11, FALSE),"")</f>
        <v/>
      </c>
    </row>
    <row r="20" ht="16.5" customHeight="1">
      <c r="A20" s="4">
        <f t="shared" si="3"/>
        <v>20019</v>
      </c>
      <c r="B20" s="5" t="str">
        <f t="shared" si="1"/>
        <v>GearName.20019</v>
      </c>
      <c r="C20" s="6" t="s">
        <v>38</v>
      </c>
      <c r="D20" s="5" t="str">
        <f t="shared" si="2"/>
        <v>GearDesc.20019</v>
      </c>
      <c r="E20" s="6" t="s">
        <v>35</v>
      </c>
      <c r="F20" s="4" t="s">
        <v>28</v>
      </c>
      <c r="G20" s="6" t="s">
        <v>29</v>
      </c>
      <c r="H20" s="7">
        <v>136.0</v>
      </c>
      <c r="I20" s="8" t="str">
        <f>IFERROR(VLOOKUP(H20, GearAttributes!$A$1:$J$3001, 10, FALSE),"")</f>
        <v>#주루증가</v>
      </c>
      <c r="J20" s="8" t="str">
        <f>IFERROR(VLOOKUP(H20, GearAttributes!$A$1:$K$3001, 11, FALSE),"")</f>
        <v>주력1</v>
      </c>
      <c r="K20" s="8" t="str">
        <f>IFERROR(VLOOKUP(H20, GearAttributes!$A$1:$L$3001, 12, FALSE),"")</f>
        <v/>
      </c>
      <c r="L20" s="9">
        <v>3.0</v>
      </c>
      <c r="M20" s="10" t="str">
        <f>IFERROR(VLOOKUP(#REF!, '#level_value'!$A$1:$K$669, 11, FALSE),"")</f>
        <v/>
      </c>
    </row>
    <row r="21" ht="16.5" customHeight="1">
      <c r="A21" s="4">
        <f t="shared" si="3"/>
        <v>20020</v>
      </c>
      <c r="B21" s="5" t="str">
        <f t="shared" si="1"/>
        <v>GearName.20020</v>
      </c>
      <c r="C21" s="6" t="s">
        <v>39</v>
      </c>
      <c r="D21" s="5" t="str">
        <f t="shared" si="2"/>
        <v>GearDesc.20020</v>
      </c>
      <c r="E21" s="6" t="s">
        <v>35</v>
      </c>
      <c r="F21" s="4" t="s">
        <v>28</v>
      </c>
      <c r="G21" s="6" t="s">
        <v>29</v>
      </c>
      <c r="H21" s="7">
        <v>136.0</v>
      </c>
      <c r="I21" s="8" t="str">
        <f>IFERROR(VLOOKUP(H21, GearAttributes!$A$1:$J$3001, 10, FALSE),"")</f>
        <v>#주루증가</v>
      </c>
      <c r="J21" s="8" t="str">
        <f>IFERROR(VLOOKUP(H21, GearAttributes!$A$1:$K$3001, 11, FALSE),"")</f>
        <v>주력1</v>
      </c>
      <c r="K21" s="8" t="str">
        <f>IFERROR(VLOOKUP(H21, GearAttributes!$A$1:$L$3001, 12, FALSE),"")</f>
        <v/>
      </c>
      <c r="L21" s="9">
        <v>3.0</v>
      </c>
      <c r="M21" s="10" t="str">
        <f>IFERROR(VLOOKUP(#REF!, '#level_value'!$A$1:$K$669, 11, FALSE),"")</f>
        <v/>
      </c>
    </row>
    <row r="22" ht="16.5" customHeight="1">
      <c r="A22" s="4">
        <f t="shared" si="3"/>
        <v>20021</v>
      </c>
      <c r="B22" s="5" t="str">
        <f t="shared" si="1"/>
        <v>GearName.20021</v>
      </c>
      <c r="C22" s="6" t="s">
        <v>40</v>
      </c>
      <c r="D22" s="5" t="str">
        <f t="shared" si="2"/>
        <v>GearDesc.20021</v>
      </c>
      <c r="E22" s="6" t="s">
        <v>41</v>
      </c>
      <c r="F22" s="4" t="s">
        <v>42</v>
      </c>
      <c r="G22" s="6" t="s">
        <v>43</v>
      </c>
      <c r="H22" s="7">
        <v>103.0</v>
      </c>
      <c r="I22" s="8" t="str">
        <f>IFERROR(VLOOKUP(H22, GearAttributes!$A$1:$J$3001, 10, FALSE),"")</f>
        <v>#선구증가</v>
      </c>
      <c r="J22" s="8" t="str">
        <f>IFERROR(VLOOKUP(H22, GearAttributes!$A$1:$K$3001, 11, FALSE),"")</f>
        <v/>
      </c>
      <c r="K22" s="8" t="str">
        <f>IFERROR(VLOOKUP(H22, GearAttributes!$A$1:$L$3001, 12, FALSE),"")</f>
        <v/>
      </c>
      <c r="L22" s="9">
        <v>1.0</v>
      </c>
      <c r="M22" s="10" t="str">
        <f>IFERROR(VLOOKUP(#REF!, '#level_value'!$A$1:$K$669, 11, FALSE),"")</f>
        <v/>
      </c>
    </row>
    <row r="23" ht="16.5" customHeight="1">
      <c r="A23" s="4">
        <f t="shared" si="3"/>
        <v>20022</v>
      </c>
      <c r="B23" s="5" t="str">
        <f t="shared" si="1"/>
        <v>GearName.20022</v>
      </c>
      <c r="C23" s="6" t="s">
        <v>44</v>
      </c>
      <c r="D23" s="5" t="str">
        <f t="shared" si="2"/>
        <v>GearDesc.20022</v>
      </c>
      <c r="E23" s="6" t="s">
        <v>41</v>
      </c>
      <c r="F23" s="4" t="s">
        <v>42</v>
      </c>
      <c r="G23" s="6" t="s">
        <v>43</v>
      </c>
      <c r="H23" s="7">
        <v>103.0</v>
      </c>
      <c r="I23" s="8" t="str">
        <f>IFERROR(VLOOKUP(H23, GearAttributes!$A$1:$J$3001, 10, FALSE),"")</f>
        <v>#선구증가</v>
      </c>
      <c r="J23" s="8" t="str">
        <f>IFERROR(VLOOKUP(H23, GearAttributes!$A$1:$K$3001, 11, FALSE),"")</f>
        <v/>
      </c>
      <c r="K23" s="8" t="str">
        <f>IFERROR(VLOOKUP(H23, GearAttributes!$A$1:$L$3001, 12, FALSE),"")</f>
        <v/>
      </c>
      <c r="L23" s="9">
        <v>2.0</v>
      </c>
      <c r="M23" s="10" t="str">
        <f>IFERROR(VLOOKUP(#REF!, '#level_value'!$A$1:$K$669, 11, FALSE),"")</f>
        <v/>
      </c>
    </row>
    <row r="24" ht="16.5" customHeight="1">
      <c r="A24" s="4">
        <f t="shared" si="3"/>
        <v>20023</v>
      </c>
      <c r="B24" s="5" t="str">
        <f t="shared" si="1"/>
        <v>GearName.20023</v>
      </c>
      <c r="C24" s="6" t="s">
        <v>45</v>
      </c>
      <c r="D24" s="5" t="str">
        <f t="shared" si="2"/>
        <v>GearDesc.20023</v>
      </c>
      <c r="E24" s="6" t="s">
        <v>41</v>
      </c>
      <c r="F24" s="4" t="s">
        <v>42</v>
      </c>
      <c r="G24" s="6" t="s">
        <v>43</v>
      </c>
      <c r="H24" s="7">
        <v>103.0</v>
      </c>
      <c r="I24" s="8" t="str">
        <f>IFERROR(VLOOKUP(H24, GearAttributes!$A$1:$J$3001, 10, FALSE),"")</f>
        <v>#선구증가</v>
      </c>
      <c r="J24" s="8" t="str">
        <f>IFERROR(VLOOKUP(H24, GearAttributes!$A$1:$K$3001, 11, FALSE),"")</f>
        <v/>
      </c>
      <c r="K24" s="8" t="str">
        <f>IFERROR(VLOOKUP(H24, GearAttributes!$A$1:$L$3001, 12, FALSE),"")</f>
        <v/>
      </c>
      <c r="L24" s="9">
        <v>3.0</v>
      </c>
      <c r="M24" s="10" t="str">
        <f>IFERROR(VLOOKUP(#REF!, '#level_value'!$A$1:$K$669, 11, FALSE),"")</f>
        <v/>
      </c>
    </row>
    <row r="25" ht="16.5" customHeight="1">
      <c r="A25" s="4">
        <f t="shared" si="3"/>
        <v>20024</v>
      </c>
      <c r="B25" s="5" t="str">
        <f t="shared" si="1"/>
        <v>GearName.20024</v>
      </c>
      <c r="C25" s="6" t="s">
        <v>46</v>
      </c>
      <c r="D25" s="5" t="str">
        <f t="shared" si="2"/>
        <v>GearDesc.20024</v>
      </c>
      <c r="E25" s="6" t="s">
        <v>41</v>
      </c>
      <c r="F25" s="4" t="s">
        <v>42</v>
      </c>
      <c r="G25" s="6" t="s">
        <v>43</v>
      </c>
      <c r="H25" s="7">
        <v>103.0</v>
      </c>
      <c r="I25" s="8" t="str">
        <f>IFERROR(VLOOKUP(H25, GearAttributes!$A$1:$J$3001, 10, FALSE),"")</f>
        <v>#선구증가</v>
      </c>
      <c r="J25" s="8" t="str">
        <f>IFERROR(VLOOKUP(H25, GearAttributes!$A$1:$K$3001, 11, FALSE),"")</f>
        <v/>
      </c>
      <c r="K25" s="8" t="str">
        <f>IFERROR(VLOOKUP(H25, GearAttributes!$A$1:$L$3001, 12, FALSE),"")</f>
        <v/>
      </c>
      <c r="L25" s="9">
        <v>3.0</v>
      </c>
      <c r="M25" s="10" t="str">
        <f>IFERROR(VLOOKUP(#REF!, '#level_value'!$A$1:$K$669, 11, FALSE),"")</f>
        <v/>
      </c>
    </row>
    <row r="26" ht="16.5" customHeight="1">
      <c r="A26" s="4">
        <f t="shared" si="3"/>
        <v>20025</v>
      </c>
      <c r="B26" s="5" t="str">
        <f t="shared" si="1"/>
        <v>GearName.20025</v>
      </c>
      <c r="C26" s="6" t="s">
        <v>47</v>
      </c>
      <c r="D26" s="5" t="str">
        <f t="shared" si="2"/>
        <v>GearDesc.20025</v>
      </c>
      <c r="E26" s="6" t="s">
        <v>41</v>
      </c>
      <c r="F26" s="4" t="s">
        <v>42</v>
      </c>
      <c r="G26" s="6" t="s">
        <v>43</v>
      </c>
      <c r="H26" s="7">
        <v>103.0</v>
      </c>
      <c r="I26" s="8" t="str">
        <f>IFERROR(VLOOKUP(H26, GearAttributes!$A$1:$J$3001, 10, FALSE),"")</f>
        <v>#선구증가</v>
      </c>
      <c r="J26" s="8" t="str">
        <f>IFERROR(VLOOKUP(H26, GearAttributes!$A$1:$K$3001, 11, FALSE),"")</f>
        <v/>
      </c>
      <c r="K26" s="8" t="str">
        <f>IFERROR(VLOOKUP(H26, GearAttributes!$A$1:$L$3001, 12, FALSE),"")</f>
        <v/>
      </c>
      <c r="L26" s="9">
        <v>3.0</v>
      </c>
      <c r="M26" s="10" t="str">
        <f>IFERROR(VLOOKUP(#REF!, '#level_value'!$A$1:$K$669, 11, FALSE),"")</f>
        <v/>
      </c>
    </row>
    <row r="27" ht="16.5" customHeight="1">
      <c r="A27" s="4">
        <f t="shared" si="3"/>
        <v>20026</v>
      </c>
      <c r="B27" s="5" t="str">
        <f t="shared" si="1"/>
        <v>GearName.20026</v>
      </c>
      <c r="C27" s="6" t="s">
        <v>48</v>
      </c>
      <c r="D27" s="5" t="str">
        <f t="shared" si="2"/>
        <v>GearDesc.20026</v>
      </c>
      <c r="E27" s="6" t="s">
        <v>49</v>
      </c>
      <c r="F27" s="4" t="s">
        <v>42</v>
      </c>
      <c r="G27" s="6" t="s">
        <v>43</v>
      </c>
      <c r="H27" s="7">
        <v>133.0</v>
      </c>
      <c r="I27" s="8" t="str">
        <f>IFERROR(VLOOKUP(H27, GearAttributes!$A$1:$J$3001, 10, FALSE),"")</f>
        <v>#선구증가</v>
      </c>
      <c r="J27" s="8" t="str">
        <f>IFERROR(VLOOKUP(H27, GearAttributes!$A$1:$K$3001, 11, FALSE),"")</f>
        <v>집중력1</v>
      </c>
      <c r="K27" s="8" t="str">
        <f>IFERROR(VLOOKUP(H27, GearAttributes!$A$1:$L$3001, 12, FALSE),"")</f>
        <v/>
      </c>
      <c r="L27" s="9">
        <v>1.0</v>
      </c>
      <c r="M27" s="10" t="str">
        <f>IFERROR(VLOOKUP(#REF!, '#level_value'!$A$1:$K$669, 11, FALSE),"")</f>
        <v/>
      </c>
    </row>
    <row r="28" ht="16.5" customHeight="1">
      <c r="A28" s="4">
        <f t="shared" si="3"/>
        <v>20027</v>
      </c>
      <c r="B28" s="5" t="str">
        <f t="shared" si="1"/>
        <v>GearName.20027</v>
      </c>
      <c r="C28" s="6" t="s">
        <v>50</v>
      </c>
      <c r="D28" s="5" t="str">
        <f t="shared" si="2"/>
        <v>GearDesc.20027</v>
      </c>
      <c r="E28" s="6" t="s">
        <v>49</v>
      </c>
      <c r="F28" s="4" t="s">
        <v>42</v>
      </c>
      <c r="G28" s="6" t="s">
        <v>43</v>
      </c>
      <c r="H28" s="7">
        <v>133.0</v>
      </c>
      <c r="I28" s="8" t="str">
        <f>IFERROR(VLOOKUP(H28, GearAttributes!$A$1:$J$3001, 10, FALSE),"")</f>
        <v>#선구증가</v>
      </c>
      <c r="J28" s="8" t="str">
        <f>IFERROR(VLOOKUP(H28, GearAttributes!$A$1:$K$3001, 11, FALSE),"")</f>
        <v>집중력1</v>
      </c>
      <c r="K28" s="8" t="str">
        <f>IFERROR(VLOOKUP(H28, GearAttributes!$A$1:$L$3001, 12, FALSE),"")</f>
        <v/>
      </c>
      <c r="L28" s="9">
        <v>2.0</v>
      </c>
      <c r="M28" s="10" t="str">
        <f>IFERROR(VLOOKUP(#REF!, '#level_value'!$A$1:$K$669, 11, FALSE),"")</f>
        <v/>
      </c>
    </row>
    <row r="29" ht="16.5" customHeight="1">
      <c r="A29" s="4">
        <f t="shared" si="3"/>
        <v>20028</v>
      </c>
      <c r="B29" s="5" t="str">
        <f t="shared" si="1"/>
        <v>GearName.20028</v>
      </c>
      <c r="C29" s="6" t="s">
        <v>51</v>
      </c>
      <c r="D29" s="5" t="str">
        <f t="shared" si="2"/>
        <v>GearDesc.20028</v>
      </c>
      <c r="E29" s="6" t="s">
        <v>49</v>
      </c>
      <c r="F29" s="4" t="s">
        <v>42</v>
      </c>
      <c r="G29" s="6" t="s">
        <v>43</v>
      </c>
      <c r="H29" s="7">
        <v>133.0</v>
      </c>
      <c r="I29" s="8" t="str">
        <f>IFERROR(VLOOKUP(H29, GearAttributes!$A$1:$J$3001, 10, FALSE),"")</f>
        <v>#선구증가</v>
      </c>
      <c r="J29" s="8" t="str">
        <f>IFERROR(VLOOKUP(H29, GearAttributes!$A$1:$K$3001, 11, FALSE),"")</f>
        <v>집중력1</v>
      </c>
      <c r="K29" s="8" t="str">
        <f>IFERROR(VLOOKUP(H29, GearAttributes!$A$1:$L$3001, 12, FALSE),"")</f>
        <v/>
      </c>
      <c r="L29" s="9">
        <v>3.0</v>
      </c>
      <c r="M29" s="10" t="str">
        <f>IFERROR(VLOOKUP(#REF!, '#level_value'!$A$1:$K$669, 11, FALSE),"")</f>
        <v/>
      </c>
    </row>
    <row r="30" ht="16.5" customHeight="1">
      <c r="A30" s="4">
        <f t="shared" si="3"/>
        <v>20029</v>
      </c>
      <c r="B30" s="5" t="str">
        <f t="shared" si="1"/>
        <v>GearName.20029</v>
      </c>
      <c r="C30" s="6" t="s">
        <v>52</v>
      </c>
      <c r="D30" s="5" t="str">
        <f t="shared" si="2"/>
        <v>GearDesc.20029</v>
      </c>
      <c r="E30" s="6" t="s">
        <v>49</v>
      </c>
      <c r="F30" s="4" t="s">
        <v>42</v>
      </c>
      <c r="G30" s="6" t="s">
        <v>43</v>
      </c>
      <c r="H30" s="7">
        <v>133.0</v>
      </c>
      <c r="I30" s="8" t="str">
        <f>IFERROR(VLOOKUP(H30, GearAttributes!$A$1:$J$3001, 10, FALSE),"")</f>
        <v>#선구증가</v>
      </c>
      <c r="J30" s="8" t="str">
        <f>IFERROR(VLOOKUP(H30, GearAttributes!$A$1:$K$3001, 11, FALSE),"")</f>
        <v>집중력1</v>
      </c>
      <c r="K30" s="8" t="str">
        <f>IFERROR(VLOOKUP(H30, GearAttributes!$A$1:$L$3001, 12, FALSE),"")</f>
        <v/>
      </c>
      <c r="L30" s="9">
        <v>3.0</v>
      </c>
      <c r="M30" s="10" t="str">
        <f>IFERROR(VLOOKUP(#REF!, '#level_value'!$A$1:$K$669, 11, FALSE),"")</f>
        <v/>
      </c>
    </row>
    <row r="31" ht="16.5" customHeight="1">
      <c r="A31" s="4">
        <f t="shared" si="3"/>
        <v>20030</v>
      </c>
      <c r="B31" s="5" t="str">
        <f t="shared" si="1"/>
        <v>GearName.20030</v>
      </c>
      <c r="C31" s="6" t="s">
        <v>53</v>
      </c>
      <c r="D31" s="5" t="str">
        <f t="shared" si="2"/>
        <v>GearDesc.20030</v>
      </c>
      <c r="E31" s="6" t="s">
        <v>49</v>
      </c>
      <c r="F31" s="4" t="s">
        <v>42</v>
      </c>
      <c r="G31" s="6" t="s">
        <v>43</v>
      </c>
      <c r="H31" s="7">
        <v>133.0</v>
      </c>
      <c r="I31" s="8" t="str">
        <f>IFERROR(VLOOKUP(H31, GearAttributes!$A$1:$J$3001, 10, FALSE),"")</f>
        <v>#선구증가</v>
      </c>
      <c r="J31" s="8" t="str">
        <f>IFERROR(VLOOKUP(H31, GearAttributes!$A$1:$K$3001, 11, FALSE),"")</f>
        <v>집중력1</v>
      </c>
      <c r="K31" s="8" t="str">
        <f>IFERROR(VLOOKUP(H31, GearAttributes!$A$1:$L$3001, 12, FALSE),"")</f>
        <v/>
      </c>
      <c r="L31" s="9">
        <v>3.0</v>
      </c>
      <c r="M31" s="10" t="str">
        <f>IFERROR(VLOOKUP(#REF!, '#level_value'!$A$1:$K$669, 11, FALSE),"")</f>
        <v/>
      </c>
    </row>
    <row r="32" ht="16.5" customHeight="1">
      <c r="A32" s="4">
        <f t="shared" si="3"/>
        <v>20031</v>
      </c>
      <c r="B32" s="5" t="str">
        <f t="shared" si="1"/>
        <v>GearName.20031</v>
      </c>
      <c r="C32" s="13" t="s">
        <v>54</v>
      </c>
      <c r="D32" s="5" t="str">
        <f t="shared" si="2"/>
        <v>GearDesc.20031</v>
      </c>
      <c r="E32" s="12" t="s">
        <v>55</v>
      </c>
      <c r="F32" s="4" t="s">
        <v>56</v>
      </c>
      <c r="G32" s="6" t="s">
        <v>57</v>
      </c>
      <c r="H32" s="7">
        <v>105.0</v>
      </c>
      <c r="I32" s="8" t="str">
        <f>IFERROR(VLOOKUP(H32, GearAttributes!$A$1:$J$3001, 10, FALSE),"")</f>
        <v>#송구증가</v>
      </c>
      <c r="J32" s="8" t="str">
        <f>IFERROR(VLOOKUP(H32, GearAttributes!$A$1:$K$3001, 11, FALSE),"")</f>
        <v/>
      </c>
      <c r="K32" s="8" t="str">
        <f>IFERROR(VLOOKUP(H32, GearAttributes!$A$1:$L$3001, 12, FALSE),"")</f>
        <v/>
      </c>
      <c r="L32" s="9">
        <v>1.0</v>
      </c>
      <c r="M32" s="10" t="str">
        <f>IFERROR(VLOOKUP(#REF!, '#level_value'!$A$1:$K$669, 11, FALSE),"")</f>
        <v/>
      </c>
    </row>
    <row r="33" ht="16.5" customHeight="1">
      <c r="A33" s="4">
        <f t="shared" si="3"/>
        <v>20032</v>
      </c>
      <c r="B33" s="5" t="str">
        <f t="shared" si="1"/>
        <v>GearName.20032</v>
      </c>
      <c r="C33" s="13" t="s">
        <v>58</v>
      </c>
      <c r="D33" s="5" t="str">
        <f t="shared" si="2"/>
        <v>GearDesc.20032</v>
      </c>
      <c r="E33" s="12" t="s">
        <v>55</v>
      </c>
      <c r="F33" s="4" t="s">
        <v>56</v>
      </c>
      <c r="G33" s="6" t="s">
        <v>57</v>
      </c>
      <c r="H33" s="7">
        <v>105.0</v>
      </c>
      <c r="I33" s="8" t="str">
        <f>IFERROR(VLOOKUP(H33, GearAttributes!$A$1:$J$3001, 10, FALSE),"")</f>
        <v>#송구증가</v>
      </c>
      <c r="J33" s="8" t="str">
        <f>IFERROR(VLOOKUP(H33, GearAttributes!$A$1:$K$3001, 11, FALSE),"")</f>
        <v/>
      </c>
      <c r="K33" s="8" t="str">
        <f>IFERROR(VLOOKUP(H33, GearAttributes!$A$1:$L$3001, 12, FALSE),"")</f>
        <v/>
      </c>
      <c r="L33" s="9">
        <v>2.0</v>
      </c>
      <c r="M33" s="10" t="str">
        <f>IFERROR(VLOOKUP(#REF!, '#level_value'!$A$1:$K$669, 11, FALSE),"")</f>
        <v/>
      </c>
    </row>
    <row r="34" ht="16.5" customHeight="1">
      <c r="A34" s="4">
        <f t="shared" si="3"/>
        <v>20033</v>
      </c>
      <c r="B34" s="5" t="str">
        <f t="shared" si="1"/>
        <v>GearName.20033</v>
      </c>
      <c r="C34" s="13" t="s">
        <v>59</v>
      </c>
      <c r="D34" s="5" t="str">
        <f t="shared" si="2"/>
        <v>GearDesc.20033</v>
      </c>
      <c r="E34" s="12" t="s">
        <v>55</v>
      </c>
      <c r="F34" s="4" t="s">
        <v>56</v>
      </c>
      <c r="G34" s="6" t="s">
        <v>57</v>
      </c>
      <c r="H34" s="7">
        <v>105.0</v>
      </c>
      <c r="I34" s="8" t="str">
        <f>IFERROR(VLOOKUP(H34, GearAttributes!$A$1:$J$3001, 10, FALSE),"")</f>
        <v>#송구증가</v>
      </c>
      <c r="J34" s="8" t="str">
        <f>IFERROR(VLOOKUP(H34, GearAttributes!$A$1:$K$3001, 11, FALSE),"")</f>
        <v/>
      </c>
      <c r="K34" s="8" t="str">
        <f>IFERROR(VLOOKUP(H34, GearAttributes!$A$1:$L$3001, 12, FALSE),"")</f>
        <v/>
      </c>
      <c r="L34" s="9">
        <v>3.0</v>
      </c>
      <c r="M34" s="10" t="str">
        <f>IFERROR(VLOOKUP(#REF!, '#level_value'!$A$1:$K$669, 11, FALSE),"")</f>
        <v/>
      </c>
    </row>
    <row r="35" ht="16.5" customHeight="1">
      <c r="A35" s="4">
        <f t="shared" si="3"/>
        <v>20034</v>
      </c>
      <c r="B35" s="5" t="str">
        <f t="shared" si="1"/>
        <v>GearName.20034</v>
      </c>
      <c r="C35" s="13" t="s">
        <v>60</v>
      </c>
      <c r="D35" s="5" t="str">
        <f t="shared" si="2"/>
        <v>GearDesc.20034</v>
      </c>
      <c r="E35" s="12" t="s">
        <v>55</v>
      </c>
      <c r="F35" s="4" t="s">
        <v>56</v>
      </c>
      <c r="G35" s="6" t="s">
        <v>57</v>
      </c>
      <c r="H35" s="7">
        <v>105.0</v>
      </c>
      <c r="I35" s="8" t="str">
        <f>IFERROR(VLOOKUP(H35, GearAttributes!$A$1:$J$3001, 10, FALSE),"")</f>
        <v>#송구증가</v>
      </c>
      <c r="J35" s="8" t="str">
        <f>IFERROR(VLOOKUP(H35, GearAttributes!$A$1:$K$3001, 11, FALSE),"")</f>
        <v/>
      </c>
      <c r="K35" s="8" t="str">
        <f>IFERROR(VLOOKUP(H35, GearAttributes!$A$1:$L$3001, 12, FALSE),"")</f>
        <v/>
      </c>
      <c r="L35" s="9">
        <v>3.0</v>
      </c>
      <c r="M35" s="10" t="str">
        <f>IFERROR(VLOOKUP(#REF!, '#level_value'!$A$1:$K$669, 11, FALSE),"")</f>
        <v/>
      </c>
    </row>
    <row r="36" ht="16.5" customHeight="1">
      <c r="A36" s="4">
        <f t="shared" si="3"/>
        <v>20035</v>
      </c>
      <c r="B36" s="5" t="str">
        <f t="shared" si="1"/>
        <v>GearName.20035</v>
      </c>
      <c r="C36" s="13" t="s">
        <v>61</v>
      </c>
      <c r="D36" s="5" t="str">
        <f t="shared" si="2"/>
        <v>GearDesc.20035</v>
      </c>
      <c r="E36" s="12" t="s">
        <v>55</v>
      </c>
      <c r="F36" s="4" t="s">
        <v>56</v>
      </c>
      <c r="G36" s="6" t="s">
        <v>57</v>
      </c>
      <c r="H36" s="7">
        <v>105.0</v>
      </c>
      <c r="I36" s="8" t="str">
        <f>IFERROR(VLOOKUP(H36, GearAttributes!$A$1:$J$3001, 10, FALSE),"")</f>
        <v>#송구증가</v>
      </c>
      <c r="J36" s="8" t="str">
        <f>IFERROR(VLOOKUP(H36, GearAttributes!$A$1:$K$3001, 11, FALSE),"")</f>
        <v/>
      </c>
      <c r="K36" s="8" t="str">
        <f>IFERROR(VLOOKUP(H36, GearAttributes!$A$1:$L$3001, 12, FALSE),"")</f>
        <v/>
      </c>
      <c r="L36" s="9">
        <v>3.0</v>
      </c>
      <c r="M36" s="10" t="str">
        <f>IFERROR(VLOOKUP(#REF!, '#level_value'!$A$1:$K$669, 11, FALSE),"")</f>
        <v/>
      </c>
    </row>
    <row r="37" ht="16.5" customHeight="1">
      <c r="A37" s="4">
        <f t="shared" si="3"/>
        <v>20036</v>
      </c>
      <c r="B37" s="5" t="str">
        <f t="shared" si="1"/>
        <v>GearName.20036</v>
      </c>
      <c r="C37" s="13" t="s">
        <v>62</v>
      </c>
      <c r="D37" s="5" t="str">
        <f t="shared" si="2"/>
        <v>GearDesc.20036</v>
      </c>
      <c r="E37" s="6" t="s">
        <v>63</v>
      </c>
      <c r="F37" s="4" t="s">
        <v>56</v>
      </c>
      <c r="G37" s="6" t="s">
        <v>57</v>
      </c>
      <c r="H37" s="7">
        <v>135.0</v>
      </c>
      <c r="I37" s="8" t="str">
        <f>IFERROR(VLOOKUP(H37, GearAttributes!$A$1:$J$3001, 10, FALSE),"")</f>
        <v>#송구증가</v>
      </c>
      <c r="J37" s="8" t="str">
        <f>IFERROR(VLOOKUP(H37, GearAttributes!$A$1:$K$3001, 11, FALSE),"")</f>
        <v>내야송구1</v>
      </c>
      <c r="K37" s="8" t="str">
        <f>IFERROR(VLOOKUP(H37, GearAttributes!$A$1:$L$3001, 12, FALSE),"")</f>
        <v/>
      </c>
      <c r="L37" s="9">
        <v>1.0</v>
      </c>
      <c r="M37" s="10" t="str">
        <f>IFERROR(VLOOKUP(#REF!, '#level_value'!$A$1:$K$669, 11, FALSE),"")</f>
        <v/>
      </c>
    </row>
    <row r="38" ht="16.5" customHeight="1">
      <c r="A38" s="4">
        <f t="shared" si="3"/>
        <v>20037</v>
      </c>
      <c r="B38" s="5" t="str">
        <f t="shared" si="1"/>
        <v>GearName.20037</v>
      </c>
      <c r="C38" s="13" t="s">
        <v>64</v>
      </c>
      <c r="D38" s="5" t="str">
        <f t="shared" si="2"/>
        <v>GearDesc.20037</v>
      </c>
      <c r="E38" s="6" t="s">
        <v>63</v>
      </c>
      <c r="F38" s="4" t="s">
        <v>56</v>
      </c>
      <c r="G38" s="6" t="s">
        <v>57</v>
      </c>
      <c r="H38" s="7">
        <v>135.0</v>
      </c>
      <c r="I38" s="8" t="str">
        <f>IFERROR(VLOOKUP(H38, GearAttributes!$A$1:$J$3001, 10, FALSE),"")</f>
        <v>#송구증가</v>
      </c>
      <c r="J38" s="8" t="str">
        <f>IFERROR(VLOOKUP(H38, GearAttributes!$A$1:$K$3001, 11, FALSE),"")</f>
        <v>내야송구1</v>
      </c>
      <c r="K38" s="8" t="str">
        <f>IFERROR(VLOOKUP(H38, GearAttributes!$A$1:$L$3001, 12, FALSE),"")</f>
        <v/>
      </c>
      <c r="L38" s="9">
        <v>2.0</v>
      </c>
      <c r="M38" s="10" t="str">
        <f>IFERROR(VLOOKUP(#REF!, '#level_value'!$A$1:$K$669, 11, FALSE),"")</f>
        <v/>
      </c>
    </row>
    <row r="39" ht="16.5" customHeight="1">
      <c r="A39" s="4">
        <f t="shared" si="3"/>
        <v>20038</v>
      </c>
      <c r="B39" s="5" t="str">
        <f t="shared" si="1"/>
        <v>GearName.20038</v>
      </c>
      <c r="C39" s="13" t="s">
        <v>65</v>
      </c>
      <c r="D39" s="5" t="str">
        <f t="shared" si="2"/>
        <v>GearDesc.20038</v>
      </c>
      <c r="E39" s="6" t="s">
        <v>63</v>
      </c>
      <c r="F39" s="4" t="s">
        <v>56</v>
      </c>
      <c r="G39" s="6" t="s">
        <v>57</v>
      </c>
      <c r="H39" s="7">
        <v>135.0</v>
      </c>
      <c r="I39" s="8" t="str">
        <f>IFERROR(VLOOKUP(H39, GearAttributes!$A$1:$J$3001, 10, FALSE),"")</f>
        <v>#송구증가</v>
      </c>
      <c r="J39" s="8" t="str">
        <f>IFERROR(VLOOKUP(H39, GearAttributes!$A$1:$K$3001, 11, FALSE),"")</f>
        <v>내야송구1</v>
      </c>
      <c r="K39" s="8" t="str">
        <f>IFERROR(VLOOKUP(H39, GearAttributes!$A$1:$L$3001, 12, FALSE),"")</f>
        <v/>
      </c>
      <c r="L39" s="9">
        <v>3.0</v>
      </c>
      <c r="M39" s="10" t="str">
        <f>IFERROR(VLOOKUP(#REF!, '#level_value'!$A$1:$K$669, 11, FALSE),"")</f>
        <v/>
      </c>
    </row>
    <row r="40" ht="16.5" customHeight="1">
      <c r="A40" s="4">
        <f t="shared" si="3"/>
        <v>20039</v>
      </c>
      <c r="B40" s="5" t="str">
        <f t="shared" si="1"/>
        <v>GearName.20039</v>
      </c>
      <c r="C40" s="13" t="s">
        <v>66</v>
      </c>
      <c r="D40" s="5" t="str">
        <f t="shared" si="2"/>
        <v>GearDesc.20039</v>
      </c>
      <c r="E40" s="6" t="s">
        <v>63</v>
      </c>
      <c r="F40" s="4" t="s">
        <v>56</v>
      </c>
      <c r="G40" s="6" t="s">
        <v>57</v>
      </c>
      <c r="H40" s="7">
        <v>135.0</v>
      </c>
      <c r="I40" s="8" t="str">
        <f>IFERROR(VLOOKUP(H40, GearAttributes!$A$1:$J$3001, 10, FALSE),"")</f>
        <v>#송구증가</v>
      </c>
      <c r="J40" s="8" t="str">
        <f>IFERROR(VLOOKUP(H40, GearAttributes!$A$1:$K$3001, 11, FALSE),"")</f>
        <v>내야송구1</v>
      </c>
      <c r="K40" s="8" t="str">
        <f>IFERROR(VLOOKUP(H40, GearAttributes!$A$1:$L$3001, 12, FALSE),"")</f>
        <v/>
      </c>
      <c r="L40" s="9">
        <v>3.0</v>
      </c>
      <c r="M40" s="10" t="str">
        <f>IFERROR(VLOOKUP(#REF!, '#level_value'!$A$1:$K$669, 11, FALSE),"")</f>
        <v/>
      </c>
    </row>
    <row r="41" ht="16.5" customHeight="1">
      <c r="A41" s="4">
        <f t="shared" si="3"/>
        <v>20040</v>
      </c>
      <c r="B41" s="5" t="str">
        <f t="shared" si="1"/>
        <v>GearName.20040</v>
      </c>
      <c r="C41" s="13" t="s">
        <v>67</v>
      </c>
      <c r="D41" s="5" t="str">
        <f t="shared" si="2"/>
        <v>GearDesc.20040</v>
      </c>
      <c r="E41" s="6" t="s">
        <v>63</v>
      </c>
      <c r="F41" s="4" t="s">
        <v>56</v>
      </c>
      <c r="G41" s="6" t="s">
        <v>57</v>
      </c>
      <c r="H41" s="7">
        <v>135.0</v>
      </c>
      <c r="I41" s="8" t="str">
        <f>IFERROR(VLOOKUP(H41, GearAttributes!$A$1:$J$3001, 10, FALSE),"")</f>
        <v>#송구증가</v>
      </c>
      <c r="J41" s="8" t="str">
        <f>IFERROR(VLOOKUP(H41, GearAttributes!$A$1:$K$3001, 11, FALSE),"")</f>
        <v>내야송구1</v>
      </c>
      <c r="K41" s="8" t="str">
        <f>IFERROR(VLOOKUP(H41, GearAttributes!$A$1:$L$3001, 12, FALSE),"")</f>
        <v/>
      </c>
      <c r="L41" s="9">
        <v>3.0</v>
      </c>
      <c r="M41" s="10" t="str">
        <f>IFERROR(VLOOKUP(#REF!, '#level_value'!$A$1:$K$669, 11, FALSE),"")</f>
        <v/>
      </c>
    </row>
    <row r="42" ht="16.5" customHeight="1">
      <c r="A42" s="4">
        <f t="shared" si="3"/>
        <v>20041</v>
      </c>
      <c r="B42" s="5" t="str">
        <f t="shared" si="1"/>
        <v>GearName.20041</v>
      </c>
      <c r="C42" s="13" t="s">
        <v>68</v>
      </c>
      <c r="D42" s="5" t="str">
        <f t="shared" si="2"/>
        <v>GearDesc.20041</v>
      </c>
      <c r="E42" s="12" t="s">
        <v>69</v>
      </c>
      <c r="F42" s="4" t="s">
        <v>42</v>
      </c>
      <c r="G42" s="6" t="s">
        <v>43</v>
      </c>
      <c r="H42" s="7">
        <v>102.0</v>
      </c>
      <c r="I42" s="8" t="str">
        <f>IFERROR(VLOOKUP(H42, GearAttributes!$A$1:$J$3001, 10, FALSE),"")</f>
        <v>#컨택증가</v>
      </c>
      <c r="J42" s="8" t="str">
        <f>IFERROR(VLOOKUP(H42, GearAttributes!$A$1:$K$3001, 11, FALSE),"")</f>
        <v/>
      </c>
      <c r="K42" s="8" t="str">
        <f>IFERROR(VLOOKUP(H42, GearAttributes!$A$1:$L$3001, 12, FALSE),"")</f>
        <v/>
      </c>
      <c r="L42" s="9">
        <v>1.0</v>
      </c>
      <c r="M42" s="10" t="str">
        <f>IFERROR(VLOOKUP(#REF!, '#level_value'!$A$1:$K$669, 11, FALSE),"")</f>
        <v/>
      </c>
    </row>
    <row r="43" ht="16.5" customHeight="1">
      <c r="A43" s="4">
        <f t="shared" si="3"/>
        <v>20042</v>
      </c>
      <c r="B43" s="5" t="str">
        <f t="shared" si="1"/>
        <v>GearName.20042</v>
      </c>
      <c r="C43" s="13" t="s">
        <v>70</v>
      </c>
      <c r="D43" s="5" t="str">
        <f t="shared" si="2"/>
        <v>GearDesc.20042</v>
      </c>
      <c r="E43" s="12" t="s">
        <v>69</v>
      </c>
      <c r="F43" s="4" t="s">
        <v>42</v>
      </c>
      <c r="G43" s="6" t="s">
        <v>43</v>
      </c>
      <c r="H43" s="7">
        <v>102.0</v>
      </c>
      <c r="I43" s="8" t="str">
        <f>IFERROR(VLOOKUP(H43, GearAttributes!$A$1:$J$3001, 10, FALSE),"")</f>
        <v>#컨택증가</v>
      </c>
      <c r="J43" s="8" t="str">
        <f>IFERROR(VLOOKUP(H43, GearAttributes!$A$1:$K$3001, 11, FALSE),"")</f>
        <v/>
      </c>
      <c r="K43" s="8" t="str">
        <f>IFERROR(VLOOKUP(H43, GearAttributes!$A$1:$L$3001, 12, FALSE),"")</f>
        <v/>
      </c>
      <c r="L43" s="9">
        <v>2.0</v>
      </c>
      <c r="M43" s="10" t="str">
        <f>IFERROR(VLOOKUP(#REF!, '#level_value'!$A$1:$K$669, 11, FALSE),"")</f>
        <v/>
      </c>
    </row>
    <row r="44" ht="16.5" customHeight="1">
      <c r="A44" s="4">
        <f t="shared" si="3"/>
        <v>20043</v>
      </c>
      <c r="B44" s="5" t="str">
        <f t="shared" si="1"/>
        <v>GearName.20043</v>
      </c>
      <c r="C44" s="13" t="s">
        <v>71</v>
      </c>
      <c r="D44" s="5" t="str">
        <f t="shared" si="2"/>
        <v>GearDesc.20043</v>
      </c>
      <c r="E44" s="12" t="s">
        <v>69</v>
      </c>
      <c r="F44" s="4" t="s">
        <v>42</v>
      </c>
      <c r="G44" s="6" t="s">
        <v>43</v>
      </c>
      <c r="H44" s="7">
        <v>102.0</v>
      </c>
      <c r="I44" s="8" t="str">
        <f>IFERROR(VLOOKUP(H44, GearAttributes!$A$1:$J$3001, 10, FALSE),"")</f>
        <v>#컨택증가</v>
      </c>
      <c r="J44" s="8" t="str">
        <f>IFERROR(VLOOKUP(H44, GearAttributes!$A$1:$K$3001, 11, FALSE),"")</f>
        <v/>
      </c>
      <c r="K44" s="8" t="str">
        <f>IFERROR(VLOOKUP(H44, GearAttributes!$A$1:$L$3001, 12, FALSE),"")</f>
        <v/>
      </c>
      <c r="L44" s="9">
        <v>3.0</v>
      </c>
      <c r="M44" s="10" t="str">
        <f>IFERROR(VLOOKUP(#REF!, '#level_value'!$A$1:$K$669, 11, FALSE),"")</f>
        <v/>
      </c>
    </row>
    <row r="45" ht="16.5" customHeight="1">
      <c r="A45" s="4">
        <f t="shared" si="3"/>
        <v>20044</v>
      </c>
      <c r="B45" s="5" t="str">
        <f t="shared" si="1"/>
        <v>GearName.20044</v>
      </c>
      <c r="C45" s="13" t="s">
        <v>72</v>
      </c>
      <c r="D45" s="5" t="str">
        <f t="shared" si="2"/>
        <v>GearDesc.20044</v>
      </c>
      <c r="E45" s="12" t="s">
        <v>69</v>
      </c>
      <c r="F45" s="4" t="s">
        <v>42</v>
      </c>
      <c r="G45" s="6" t="s">
        <v>43</v>
      </c>
      <c r="H45" s="7">
        <v>102.0</v>
      </c>
      <c r="I45" s="8" t="str">
        <f>IFERROR(VLOOKUP(H45, GearAttributes!$A$1:$J$3001, 10, FALSE),"")</f>
        <v>#컨택증가</v>
      </c>
      <c r="J45" s="8" t="str">
        <f>IFERROR(VLOOKUP(H45, GearAttributes!$A$1:$K$3001, 11, FALSE),"")</f>
        <v/>
      </c>
      <c r="K45" s="8" t="str">
        <f>IFERROR(VLOOKUP(H45, GearAttributes!$A$1:$L$3001, 12, FALSE),"")</f>
        <v/>
      </c>
      <c r="L45" s="9">
        <v>3.0</v>
      </c>
      <c r="M45" s="10" t="str">
        <f>IFERROR(VLOOKUP(#REF!, '#level_value'!$A$1:$K$669, 11, FALSE),"")</f>
        <v/>
      </c>
    </row>
    <row r="46" ht="16.5" customHeight="1">
      <c r="A46" s="4">
        <f t="shared" si="3"/>
        <v>20045</v>
      </c>
      <c r="B46" s="5" t="str">
        <f t="shared" si="1"/>
        <v>GearName.20045</v>
      </c>
      <c r="C46" s="13" t="s">
        <v>73</v>
      </c>
      <c r="D46" s="5" t="str">
        <f t="shared" si="2"/>
        <v>GearDesc.20045</v>
      </c>
      <c r="E46" s="12" t="s">
        <v>69</v>
      </c>
      <c r="F46" s="4" t="s">
        <v>42</v>
      </c>
      <c r="G46" s="6" t="s">
        <v>43</v>
      </c>
      <c r="H46" s="7">
        <v>102.0</v>
      </c>
      <c r="I46" s="8" t="str">
        <f>IFERROR(VLOOKUP(H46, GearAttributes!$A$1:$J$3001, 10, FALSE),"")</f>
        <v>#컨택증가</v>
      </c>
      <c r="J46" s="8" t="str">
        <f>IFERROR(VLOOKUP(H46, GearAttributes!$A$1:$K$3001, 11, FALSE),"")</f>
        <v/>
      </c>
      <c r="K46" s="8" t="str">
        <f>IFERROR(VLOOKUP(H46, GearAttributes!$A$1:$L$3001, 12, FALSE),"")</f>
        <v/>
      </c>
      <c r="L46" s="9">
        <v>3.0</v>
      </c>
      <c r="M46" s="10" t="str">
        <f>IFERROR(VLOOKUP(#REF!, '#level_value'!$A$1:$K$669, 11, FALSE),"")</f>
        <v/>
      </c>
    </row>
    <row r="47" ht="16.5" customHeight="1">
      <c r="A47" s="4">
        <f t="shared" si="3"/>
        <v>20046</v>
      </c>
      <c r="B47" s="5" t="str">
        <f t="shared" si="1"/>
        <v>GearName.20046</v>
      </c>
      <c r="C47" s="13" t="s">
        <v>74</v>
      </c>
      <c r="D47" s="5" t="str">
        <f t="shared" si="2"/>
        <v>GearDesc.20046</v>
      </c>
      <c r="E47" s="6" t="s">
        <v>75</v>
      </c>
      <c r="F47" s="4" t="s">
        <v>42</v>
      </c>
      <c r="G47" s="6" t="s">
        <v>43</v>
      </c>
      <c r="H47" s="7">
        <v>132.0</v>
      </c>
      <c r="I47" s="8" t="str">
        <f>IFERROR(VLOOKUP(H47, GearAttributes!$A$1:$J$3001, 10, FALSE),"")</f>
        <v>#컨택증가</v>
      </c>
      <c r="J47" s="8" t="str">
        <f>IFERROR(VLOOKUP(H47, GearAttributes!$A$1:$K$3001, 11, FALSE),"")</f>
        <v>좌완킬러1</v>
      </c>
      <c r="K47" s="8" t="str">
        <f>IFERROR(VLOOKUP(H47, GearAttributes!$A$1:$L$3001, 12, FALSE),"")</f>
        <v/>
      </c>
      <c r="L47" s="9">
        <v>1.0</v>
      </c>
      <c r="M47" s="10" t="str">
        <f>IFERROR(VLOOKUP(#REF!, '#level_value'!$A$1:$K$669, 11, FALSE),"")</f>
        <v/>
      </c>
    </row>
    <row r="48" ht="16.5" customHeight="1">
      <c r="A48" s="4">
        <f t="shared" si="3"/>
        <v>20047</v>
      </c>
      <c r="B48" s="5" t="str">
        <f t="shared" si="1"/>
        <v>GearName.20047</v>
      </c>
      <c r="C48" s="13" t="s">
        <v>76</v>
      </c>
      <c r="D48" s="5" t="str">
        <f t="shared" si="2"/>
        <v>GearDesc.20047</v>
      </c>
      <c r="E48" s="6" t="s">
        <v>75</v>
      </c>
      <c r="F48" s="4" t="s">
        <v>42</v>
      </c>
      <c r="G48" s="6" t="s">
        <v>43</v>
      </c>
      <c r="H48" s="7">
        <v>132.0</v>
      </c>
      <c r="I48" s="8" t="str">
        <f>IFERROR(VLOOKUP(H48, GearAttributes!$A$1:$J$3001, 10, FALSE),"")</f>
        <v>#컨택증가</v>
      </c>
      <c r="J48" s="8" t="str">
        <f>IFERROR(VLOOKUP(H48, GearAttributes!$A$1:$K$3001, 11, FALSE),"")</f>
        <v>좌완킬러1</v>
      </c>
      <c r="K48" s="8" t="str">
        <f>IFERROR(VLOOKUP(H48, GearAttributes!$A$1:$L$3001, 12, FALSE),"")</f>
        <v/>
      </c>
      <c r="L48" s="9">
        <v>2.0</v>
      </c>
      <c r="M48" s="10" t="str">
        <f>IFERROR(VLOOKUP(#REF!, '#level_value'!$A$1:$K$669, 11, FALSE),"")</f>
        <v/>
      </c>
    </row>
    <row r="49" ht="16.5" customHeight="1">
      <c r="A49" s="4">
        <f t="shared" si="3"/>
        <v>20048</v>
      </c>
      <c r="B49" s="5" t="str">
        <f t="shared" si="1"/>
        <v>GearName.20048</v>
      </c>
      <c r="C49" s="13" t="s">
        <v>77</v>
      </c>
      <c r="D49" s="5" t="str">
        <f t="shared" si="2"/>
        <v>GearDesc.20048</v>
      </c>
      <c r="E49" s="6" t="s">
        <v>75</v>
      </c>
      <c r="F49" s="4" t="s">
        <v>42</v>
      </c>
      <c r="G49" s="6" t="s">
        <v>43</v>
      </c>
      <c r="H49" s="7">
        <v>132.0</v>
      </c>
      <c r="I49" s="8" t="str">
        <f>IFERROR(VLOOKUP(H49, GearAttributes!$A$1:$J$3001, 10, FALSE),"")</f>
        <v>#컨택증가</v>
      </c>
      <c r="J49" s="8" t="str">
        <f>IFERROR(VLOOKUP(H49, GearAttributes!$A$1:$K$3001, 11, FALSE),"")</f>
        <v>좌완킬러1</v>
      </c>
      <c r="K49" s="8" t="str">
        <f>IFERROR(VLOOKUP(H49, GearAttributes!$A$1:$L$3001, 12, FALSE),"")</f>
        <v/>
      </c>
      <c r="L49" s="9">
        <v>3.0</v>
      </c>
      <c r="M49" s="10" t="str">
        <f>IFERROR(VLOOKUP(#REF!, '#level_value'!$A$1:$K$669, 11, FALSE),"")</f>
        <v/>
      </c>
    </row>
    <row r="50" ht="16.5" customHeight="1">
      <c r="A50" s="4">
        <f t="shared" si="3"/>
        <v>20049</v>
      </c>
      <c r="B50" s="5" t="str">
        <f t="shared" si="1"/>
        <v>GearName.20049</v>
      </c>
      <c r="C50" s="13" t="s">
        <v>78</v>
      </c>
      <c r="D50" s="5" t="str">
        <f t="shared" si="2"/>
        <v>GearDesc.20049</v>
      </c>
      <c r="E50" s="6" t="s">
        <v>75</v>
      </c>
      <c r="F50" s="4" t="s">
        <v>42</v>
      </c>
      <c r="G50" s="6" t="s">
        <v>43</v>
      </c>
      <c r="H50" s="7">
        <v>132.0</v>
      </c>
      <c r="I50" s="8" t="str">
        <f>IFERROR(VLOOKUP(H50, GearAttributes!$A$1:$J$3001, 10, FALSE),"")</f>
        <v>#컨택증가</v>
      </c>
      <c r="J50" s="8" t="str">
        <f>IFERROR(VLOOKUP(H50, GearAttributes!$A$1:$K$3001, 11, FALSE),"")</f>
        <v>좌완킬러1</v>
      </c>
      <c r="K50" s="8" t="str">
        <f>IFERROR(VLOOKUP(H50, GearAttributes!$A$1:$L$3001, 12, FALSE),"")</f>
        <v/>
      </c>
      <c r="L50" s="9">
        <v>3.0</v>
      </c>
      <c r="M50" s="10" t="str">
        <f>IFERROR(VLOOKUP(#REF!, '#level_value'!$A$1:$K$669, 11, FALSE),"")</f>
        <v/>
      </c>
    </row>
    <row r="51" ht="16.5" customHeight="1">
      <c r="A51" s="4">
        <f t="shared" si="3"/>
        <v>20050</v>
      </c>
      <c r="B51" s="5" t="str">
        <f t="shared" si="1"/>
        <v>GearName.20050</v>
      </c>
      <c r="C51" s="13" t="s">
        <v>79</v>
      </c>
      <c r="D51" s="5" t="str">
        <f t="shared" si="2"/>
        <v>GearDesc.20050</v>
      </c>
      <c r="E51" s="6" t="s">
        <v>75</v>
      </c>
      <c r="F51" s="4" t="s">
        <v>42</v>
      </c>
      <c r="G51" s="6" t="s">
        <v>43</v>
      </c>
      <c r="H51" s="7">
        <v>132.0</v>
      </c>
      <c r="I51" s="8" t="str">
        <f>IFERROR(VLOOKUP(H51, GearAttributes!$A$1:$J$3001, 10, FALSE),"")</f>
        <v>#컨택증가</v>
      </c>
      <c r="J51" s="8" t="str">
        <f>IFERROR(VLOOKUP(H51, GearAttributes!$A$1:$K$3001, 11, FALSE),"")</f>
        <v>좌완킬러1</v>
      </c>
      <c r="K51" s="8" t="str">
        <f>IFERROR(VLOOKUP(H51, GearAttributes!$A$1:$L$3001, 12, FALSE),"")</f>
        <v/>
      </c>
      <c r="L51" s="9">
        <v>3.0</v>
      </c>
      <c r="M51" s="10" t="str">
        <f>IFERROR(VLOOKUP(#REF!, '#level_value'!$A$1:$K$669, 11, FALSE),"")</f>
        <v/>
      </c>
    </row>
    <row r="52" ht="16.5" customHeight="1">
      <c r="A52" s="4">
        <f t="shared" si="3"/>
        <v>20051</v>
      </c>
      <c r="B52" s="5" t="str">
        <f t="shared" si="1"/>
        <v>GearName.20051</v>
      </c>
      <c r="C52" s="13" t="s">
        <v>80</v>
      </c>
      <c r="D52" s="5" t="str">
        <f t="shared" si="2"/>
        <v>GearDesc.20051</v>
      </c>
      <c r="E52" s="12" t="s">
        <v>81</v>
      </c>
      <c r="F52" s="4" t="s">
        <v>14</v>
      </c>
      <c r="G52" s="6" t="s">
        <v>15</v>
      </c>
      <c r="H52" s="7">
        <v>101.0</v>
      </c>
      <c r="I52" s="8" t="str">
        <f>IFERROR(VLOOKUP(H52, GearAttributes!$A$1:$J$3001, 10, FALSE),"")</f>
        <v>#파워증가</v>
      </c>
      <c r="J52" s="8" t="str">
        <f>IFERROR(VLOOKUP(H52, GearAttributes!$A$1:$K$3001, 11, FALSE),"")</f>
        <v/>
      </c>
      <c r="K52" s="8" t="str">
        <f>IFERROR(VLOOKUP(H52, GearAttributes!$A$1:$L$3001, 12, FALSE),"")</f>
        <v/>
      </c>
      <c r="L52" s="9">
        <v>1.0</v>
      </c>
      <c r="M52" s="10" t="str">
        <f>IFERROR(VLOOKUP(#REF!, '#level_value'!$A$1:$K$669, 11, FALSE),"")</f>
        <v/>
      </c>
    </row>
    <row r="53" ht="16.5" customHeight="1">
      <c r="A53" s="4">
        <f t="shared" si="3"/>
        <v>20052</v>
      </c>
      <c r="B53" s="5" t="str">
        <f t="shared" si="1"/>
        <v>GearName.20052</v>
      </c>
      <c r="C53" s="13" t="s">
        <v>82</v>
      </c>
      <c r="D53" s="5" t="str">
        <f t="shared" si="2"/>
        <v>GearDesc.20052</v>
      </c>
      <c r="E53" s="12" t="s">
        <v>81</v>
      </c>
      <c r="F53" s="4" t="s">
        <v>14</v>
      </c>
      <c r="G53" s="6" t="s">
        <v>15</v>
      </c>
      <c r="H53" s="7">
        <v>101.0</v>
      </c>
      <c r="I53" s="8" t="str">
        <f>IFERROR(VLOOKUP(H53, GearAttributes!$A$1:$J$3001, 10, FALSE),"")</f>
        <v>#파워증가</v>
      </c>
      <c r="J53" s="8" t="str">
        <f>IFERROR(VLOOKUP(H53, GearAttributes!$A$1:$K$3001, 11, FALSE),"")</f>
        <v/>
      </c>
      <c r="K53" s="8" t="str">
        <f>IFERROR(VLOOKUP(H53, GearAttributes!$A$1:$L$3001, 12, FALSE),"")</f>
        <v/>
      </c>
      <c r="L53" s="9">
        <v>2.0</v>
      </c>
      <c r="M53" s="10" t="str">
        <f>IFERROR(VLOOKUP(#REF!, '#level_value'!$A$1:$K$669, 11, FALSE),"")</f>
        <v/>
      </c>
    </row>
    <row r="54" ht="16.5" customHeight="1">
      <c r="A54" s="4">
        <f t="shared" si="3"/>
        <v>20053</v>
      </c>
      <c r="B54" s="5" t="str">
        <f t="shared" si="1"/>
        <v>GearName.20053</v>
      </c>
      <c r="C54" s="13" t="s">
        <v>83</v>
      </c>
      <c r="D54" s="5" t="str">
        <f t="shared" si="2"/>
        <v>GearDesc.20053</v>
      </c>
      <c r="E54" s="12" t="s">
        <v>81</v>
      </c>
      <c r="F54" s="4" t="s">
        <v>14</v>
      </c>
      <c r="G54" s="6" t="s">
        <v>15</v>
      </c>
      <c r="H54" s="7">
        <v>101.0</v>
      </c>
      <c r="I54" s="8" t="str">
        <f>IFERROR(VLOOKUP(H54, GearAttributes!$A$1:$J$3001, 10, FALSE),"")</f>
        <v>#파워증가</v>
      </c>
      <c r="J54" s="8" t="str">
        <f>IFERROR(VLOOKUP(H54, GearAttributes!$A$1:$K$3001, 11, FALSE),"")</f>
        <v/>
      </c>
      <c r="K54" s="8" t="str">
        <f>IFERROR(VLOOKUP(H54, GearAttributes!$A$1:$L$3001, 12, FALSE),"")</f>
        <v/>
      </c>
      <c r="L54" s="9">
        <v>3.0</v>
      </c>
      <c r="M54" s="10" t="str">
        <f>IFERROR(VLOOKUP(#REF!, '#level_value'!$A$1:$K$669, 11, FALSE),"")</f>
        <v/>
      </c>
    </row>
    <row r="55" ht="16.5" customHeight="1">
      <c r="A55" s="4">
        <f t="shared" si="3"/>
        <v>20054</v>
      </c>
      <c r="B55" s="5" t="str">
        <f t="shared" si="1"/>
        <v>GearName.20054</v>
      </c>
      <c r="C55" s="13" t="s">
        <v>84</v>
      </c>
      <c r="D55" s="5" t="str">
        <f t="shared" si="2"/>
        <v>GearDesc.20054</v>
      </c>
      <c r="E55" s="12" t="s">
        <v>81</v>
      </c>
      <c r="F55" s="4" t="s">
        <v>14</v>
      </c>
      <c r="G55" s="6" t="s">
        <v>15</v>
      </c>
      <c r="H55" s="7">
        <v>101.0</v>
      </c>
      <c r="I55" s="8" t="str">
        <f>IFERROR(VLOOKUP(H55, GearAttributes!$A$1:$J$3001, 10, FALSE),"")</f>
        <v>#파워증가</v>
      </c>
      <c r="J55" s="8" t="str">
        <f>IFERROR(VLOOKUP(H55, GearAttributes!$A$1:$K$3001, 11, FALSE),"")</f>
        <v/>
      </c>
      <c r="K55" s="8" t="str">
        <f>IFERROR(VLOOKUP(H55, GearAttributes!$A$1:$L$3001, 12, FALSE),"")</f>
        <v/>
      </c>
      <c r="L55" s="9">
        <v>3.0</v>
      </c>
      <c r="M55" s="10" t="str">
        <f>IFERROR(VLOOKUP(#REF!, '#level_value'!$A$1:$K$669, 11, FALSE),"")</f>
        <v/>
      </c>
    </row>
    <row r="56" ht="16.5" customHeight="1">
      <c r="A56" s="4">
        <f t="shared" si="3"/>
        <v>20055</v>
      </c>
      <c r="B56" s="5" t="str">
        <f t="shared" si="1"/>
        <v>GearName.20055</v>
      </c>
      <c r="C56" s="13" t="s">
        <v>85</v>
      </c>
      <c r="D56" s="5" t="str">
        <f t="shared" si="2"/>
        <v>GearDesc.20055</v>
      </c>
      <c r="E56" s="12" t="s">
        <v>81</v>
      </c>
      <c r="F56" s="4" t="s">
        <v>14</v>
      </c>
      <c r="G56" s="6" t="s">
        <v>15</v>
      </c>
      <c r="H56" s="7">
        <v>101.0</v>
      </c>
      <c r="I56" s="8" t="str">
        <f>IFERROR(VLOOKUP(H56, GearAttributes!$A$1:$J$3001, 10, FALSE),"")</f>
        <v>#파워증가</v>
      </c>
      <c r="J56" s="8" t="str">
        <f>IFERROR(VLOOKUP(H56, GearAttributes!$A$1:$K$3001, 11, FALSE),"")</f>
        <v/>
      </c>
      <c r="K56" s="8" t="str">
        <f>IFERROR(VLOOKUP(H56, GearAttributes!$A$1:$L$3001, 12, FALSE),"")</f>
        <v/>
      </c>
      <c r="L56" s="9">
        <v>3.0</v>
      </c>
      <c r="M56" s="10" t="str">
        <f>IFERROR(VLOOKUP(#REF!, '#level_value'!$A$1:$K$669, 11, FALSE),"")</f>
        <v/>
      </c>
    </row>
    <row r="57" ht="16.5" customHeight="1">
      <c r="A57" s="4">
        <f t="shared" si="3"/>
        <v>20056</v>
      </c>
      <c r="B57" s="5" t="str">
        <f t="shared" si="1"/>
        <v>GearName.20056</v>
      </c>
      <c r="C57" s="13" t="s">
        <v>86</v>
      </c>
      <c r="D57" s="5" t="str">
        <f t="shared" si="2"/>
        <v>GearDesc.20056</v>
      </c>
      <c r="E57" s="6" t="s">
        <v>87</v>
      </c>
      <c r="F57" s="4" t="s">
        <v>14</v>
      </c>
      <c r="G57" s="6" t="s">
        <v>15</v>
      </c>
      <c r="H57" s="7">
        <v>131.0</v>
      </c>
      <c r="I57" s="8" t="str">
        <f>IFERROR(VLOOKUP(H57, GearAttributes!$A$1:$J$3001, 10, FALSE),"")</f>
        <v>#파워증가</v>
      </c>
      <c r="J57" s="8" t="str">
        <f>IFERROR(VLOOKUP(H57, GearAttributes!$A$1:$K$3001, 11, FALSE),"")</f>
        <v>초구1</v>
      </c>
      <c r="K57" s="8" t="str">
        <f>IFERROR(VLOOKUP(H57, GearAttributes!$A$1:$L$3001, 12, FALSE),"")</f>
        <v/>
      </c>
      <c r="L57" s="9">
        <v>1.0</v>
      </c>
      <c r="M57" s="10" t="str">
        <f>IFERROR(VLOOKUP(#REF!, '#level_value'!$A$1:$K$669, 11, FALSE),"")</f>
        <v/>
      </c>
    </row>
    <row r="58" ht="16.5" customHeight="1">
      <c r="A58" s="4">
        <f t="shared" si="3"/>
        <v>20057</v>
      </c>
      <c r="B58" s="5" t="str">
        <f t="shared" si="1"/>
        <v>GearName.20057</v>
      </c>
      <c r="C58" s="13" t="s">
        <v>88</v>
      </c>
      <c r="D58" s="5" t="str">
        <f t="shared" si="2"/>
        <v>GearDesc.20057</v>
      </c>
      <c r="E58" s="6" t="s">
        <v>87</v>
      </c>
      <c r="F58" s="4" t="s">
        <v>14</v>
      </c>
      <c r="G58" s="6" t="s">
        <v>15</v>
      </c>
      <c r="H58" s="7">
        <v>131.0</v>
      </c>
      <c r="I58" s="8" t="str">
        <f>IFERROR(VLOOKUP(H58, GearAttributes!$A$1:$J$3001, 10, FALSE),"")</f>
        <v>#파워증가</v>
      </c>
      <c r="J58" s="8" t="str">
        <f>IFERROR(VLOOKUP(H58, GearAttributes!$A$1:$K$3001, 11, FALSE),"")</f>
        <v>초구1</v>
      </c>
      <c r="K58" s="8" t="str">
        <f>IFERROR(VLOOKUP(H58, GearAttributes!$A$1:$L$3001, 12, FALSE),"")</f>
        <v/>
      </c>
      <c r="L58" s="9">
        <v>2.0</v>
      </c>
      <c r="M58" s="10" t="str">
        <f>IFERROR(VLOOKUP(#REF!, '#level_value'!$A$1:$K$669, 11, FALSE),"")</f>
        <v/>
      </c>
    </row>
    <row r="59" ht="16.5" customHeight="1">
      <c r="A59" s="4">
        <f t="shared" si="3"/>
        <v>20058</v>
      </c>
      <c r="B59" s="5" t="str">
        <f t="shared" si="1"/>
        <v>GearName.20058</v>
      </c>
      <c r="C59" s="13" t="s">
        <v>89</v>
      </c>
      <c r="D59" s="5" t="str">
        <f t="shared" si="2"/>
        <v>GearDesc.20058</v>
      </c>
      <c r="E59" s="6" t="s">
        <v>87</v>
      </c>
      <c r="F59" s="4" t="s">
        <v>14</v>
      </c>
      <c r="G59" s="6" t="s">
        <v>15</v>
      </c>
      <c r="H59" s="7">
        <v>131.0</v>
      </c>
      <c r="I59" s="8" t="str">
        <f>IFERROR(VLOOKUP(H59, GearAttributes!$A$1:$J$3001, 10, FALSE),"")</f>
        <v>#파워증가</v>
      </c>
      <c r="J59" s="8" t="str">
        <f>IFERROR(VLOOKUP(H59, GearAttributes!$A$1:$K$3001, 11, FALSE),"")</f>
        <v>초구1</v>
      </c>
      <c r="K59" s="8" t="str">
        <f>IFERROR(VLOOKUP(H59, GearAttributes!$A$1:$L$3001, 12, FALSE),"")</f>
        <v/>
      </c>
      <c r="L59" s="9">
        <v>3.0</v>
      </c>
      <c r="M59" s="10" t="str">
        <f>IFERROR(VLOOKUP(#REF!, '#level_value'!$A$1:$K$669, 11, FALSE),"")</f>
        <v/>
      </c>
    </row>
    <row r="60" ht="16.5" customHeight="1">
      <c r="A60" s="4">
        <f t="shared" si="3"/>
        <v>20059</v>
      </c>
      <c r="B60" s="5" t="str">
        <f t="shared" si="1"/>
        <v>GearName.20059</v>
      </c>
      <c r="C60" s="13" t="s">
        <v>90</v>
      </c>
      <c r="D60" s="5" t="str">
        <f t="shared" si="2"/>
        <v>GearDesc.20059</v>
      </c>
      <c r="E60" s="6" t="s">
        <v>87</v>
      </c>
      <c r="F60" s="4" t="s">
        <v>14</v>
      </c>
      <c r="G60" s="6" t="s">
        <v>15</v>
      </c>
      <c r="H60" s="7">
        <v>131.0</v>
      </c>
      <c r="I60" s="8" t="str">
        <f>IFERROR(VLOOKUP(H60, GearAttributes!$A$1:$J$3001, 10, FALSE),"")</f>
        <v>#파워증가</v>
      </c>
      <c r="J60" s="8" t="str">
        <f>IFERROR(VLOOKUP(H60, GearAttributes!$A$1:$K$3001, 11, FALSE),"")</f>
        <v>초구1</v>
      </c>
      <c r="K60" s="8" t="str">
        <f>IFERROR(VLOOKUP(H60, GearAttributes!$A$1:$L$3001, 12, FALSE),"")</f>
        <v/>
      </c>
      <c r="L60" s="9">
        <v>3.0</v>
      </c>
      <c r="M60" s="10" t="str">
        <f>IFERROR(VLOOKUP(#REF!, '#level_value'!$A$1:$K$669, 11, FALSE),"")</f>
        <v/>
      </c>
    </row>
    <row r="61" ht="16.5" customHeight="1">
      <c r="A61" s="4">
        <f t="shared" si="3"/>
        <v>20060</v>
      </c>
      <c r="B61" s="5" t="str">
        <f t="shared" si="1"/>
        <v>GearName.20060</v>
      </c>
      <c r="C61" s="13" t="s">
        <v>91</v>
      </c>
      <c r="D61" s="5" t="str">
        <f t="shared" si="2"/>
        <v>GearDesc.20060</v>
      </c>
      <c r="E61" s="6" t="s">
        <v>87</v>
      </c>
      <c r="F61" s="4" t="s">
        <v>14</v>
      </c>
      <c r="G61" s="6" t="s">
        <v>15</v>
      </c>
      <c r="H61" s="7">
        <v>131.0</v>
      </c>
      <c r="I61" s="8" t="str">
        <f>IFERROR(VLOOKUP(H61, GearAttributes!$A$1:$J$3001, 10, FALSE),"")</f>
        <v>#파워증가</v>
      </c>
      <c r="J61" s="8" t="str">
        <f>IFERROR(VLOOKUP(H61, GearAttributes!$A$1:$K$3001, 11, FALSE),"")</f>
        <v>초구1</v>
      </c>
      <c r="K61" s="8" t="str">
        <f>IFERROR(VLOOKUP(H61, GearAttributes!$A$1:$L$3001, 12, FALSE),"")</f>
        <v/>
      </c>
      <c r="L61" s="9">
        <v>3.0</v>
      </c>
      <c r="M61" s="10" t="str">
        <f>IFERROR(VLOOKUP(#REF!, '#level_value'!$A$1:$K$669, 11, FALSE),"")</f>
        <v/>
      </c>
    </row>
    <row r="62" ht="16.5" customHeight="1">
      <c r="A62" s="4">
        <f t="shared" si="3"/>
        <v>20061</v>
      </c>
      <c r="B62" s="5" t="str">
        <f t="shared" si="1"/>
        <v>GearName.20061</v>
      </c>
      <c r="C62" s="13" t="s">
        <v>92</v>
      </c>
      <c r="D62" s="5" t="str">
        <f t="shared" si="2"/>
        <v>GearDesc.20061</v>
      </c>
      <c r="E62" s="6" t="s">
        <v>87</v>
      </c>
      <c r="F62" s="4" t="s">
        <v>56</v>
      </c>
      <c r="G62" s="6" t="s">
        <v>57</v>
      </c>
      <c r="H62" s="7">
        <v>131.0</v>
      </c>
      <c r="I62" s="8" t="str">
        <f>IFERROR(VLOOKUP(H62, GearAttributes!$A$1:$J$3001, 10, FALSE),"")</f>
        <v>#파워증가</v>
      </c>
      <c r="J62" s="8" t="str">
        <f>IFERROR(VLOOKUP(H62, GearAttributes!$A$1:$K$3001, 11, FALSE),"")</f>
        <v>초구1</v>
      </c>
      <c r="K62" s="8" t="str">
        <f>IFERROR(VLOOKUP(H62, GearAttributes!$A$1:$L$3001, 12, FALSE),"")</f>
        <v/>
      </c>
      <c r="L62" s="9">
        <v>3.0</v>
      </c>
      <c r="M62" s="10" t="str">
        <f>IFERROR(VLOOKUP(#REF!, '#level_value'!$A$1:$K$669, 11, FALSE),"")</f>
        <v/>
      </c>
    </row>
    <row r="63" ht="16.5" customHeight="1">
      <c r="A63" s="4">
        <f t="shared" si="3"/>
        <v>20062</v>
      </c>
      <c r="B63" s="5" t="str">
        <f t="shared" si="1"/>
        <v>GearName.20062</v>
      </c>
      <c r="C63" s="13" t="s">
        <v>93</v>
      </c>
      <c r="D63" s="5" t="str">
        <f t="shared" si="2"/>
        <v>GearDesc.20062</v>
      </c>
      <c r="E63" s="6" t="s">
        <v>87</v>
      </c>
      <c r="F63" s="4" t="s">
        <v>56</v>
      </c>
      <c r="G63" s="6" t="s">
        <v>57</v>
      </c>
      <c r="H63" s="7">
        <v>131.0</v>
      </c>
      <c r="I63" s="8" t="str">
        <f>IFERROR(VLOOKUP(H63, GearAttributes!$A$1:$J$3001, 10, FALSE),"")</f>
        <v>#파워증가</v>
      </c>
      <c r="J63" s="8" t="str">
        <f>IFERROR(VLOOKUP(H63, GearAttributes!$A$1:$K$3001, 11, FALSE),"")</f>
        <v>초구1</v>
      </c>
      <c r="K63" s="8" t="str">
        <f>IFERROR(VLOOKUP(H63, GearAttributes!$A$1:$L$3001, 12, FALSE),"")</f>
        <v/>
      </c>
      <c r="L63" s="9">
        <v>3.0</v>
      </c>
      <c r="M63" s="10" t="str">
        <f>IFERROR(VLOOKUP(#REF!, '#level_value'!$A$1:$K$669, 11, FALSE),"")</f>
        <v/>
      </c>
    </row>
    <row r="64" ht="16.5" customHeight="1">
      <c r="A64" s="4">
        <f t="shared" si="3"/>
        <v>20063</v>
      </c>
      <c r="B64" s="5" t="str">
        <f t="shared" si="1"/>
        <v>GearName.20063</v>
      </c>
      <c r="C64" s="13" t="s">
        <v>94</v>
      </c>
      <c r="D64" s="5" t="str">
        <f t="shared" si="2"/>
        <v>GearDesc.20063</v>
      </c>
      <c r="E64" s="6" t="s">
        <v>87</v>
      </c>
      <c r="F64" s="4" t="s">
        <v>56</v>
      </c>
      <c r="G64" s="6" t="s">
        <v>57</v>
      </c>
      <c r="H64" s="7">
        <v>131.0</v>
      </c>
      <c r="I64" s="8" t="str">
        <f>IFERROR(VLOOKUP(H64, GearAttributes!$A$1:$J$3001, 10, FALSE),"")</f>
        <v>#파워증가</v>
      </c>
      <c r="J64" s="8" t="str">
        <f>IFERROR(VLOOKUP(H64, GearAttributes!$A$1:$K$3001, 11, FALSE),"")</f>
        <v>초구1</v>
      </c>
      <c r="K64" s="8" t="str">
        <f>IFERROR(VLOOKUP(H64, GearAttributes!$A$1:$L$3001, 12, FALSE),"")</f>
        <v/>
      </c>
      <c r="L64" s="9">
        <v>3.0</v>
      </c>
      <c r="M64" s="10" t="str">
        <f>IFERROR(VLOOKUP(#REF!, '#level_value'!$A$1:$K$669, 11, FALSE),"")</f>
        <v/>
      </c>
    </row>
    <row r="65" ht="16.5" customHeight="1">
      <c r="A65" s="4">
        <f t="shared" si="3"/>
        <v>20064</v>
      </c>
      <c r="B65" s="5" t="str">
        <f t="shared" si="1"/>
        <v>GearName.20064</v>
      </c>
      <c r="C65" s="13" t="s">
        <v>95</v>
      </c>
      <c r="D65" s="5" t="str">
        <f t="shared" si="2"/>
        <v>GearDesc.20064</v>
      </c>
      <c r="E65" s="6" t="s">
        <v>87</v>
      </c>
      <c r="F65" s="4" t="s">
        <v>56</v>
      </c>
      <c r="G65" s="6" t="s">
        <v>57</v>
      </c>
      <c r="H65" s="7">
        <v>131.0</v>
      </c>
      <c r="I65" s="8" t="str">
        <f>IFERROR(VLOOKUP(H65, GearAttributes!$A$1:$J$3001, 10, FALSE),"")</f>
        <v>#파워증가</v>
      </c>
      <c r="J65" s="8" t="str">
        <f>IFERROR(VLOOKUP(H65, GearAttributes!$A$1:$K$3001, 11, FALSE),"")</f>
        <v>초구1</v>
      </c>
      <c r="K65" s="8" t="str">
        <f>IFERROR(VLOOKUP(H65, GearAttributes!$A$1:$L$3001, 12, FALSE),"")</f>
        <v/>
      </c>
      <c r="L65" s="9">
        <v>3.0</v>
      </c>
      <c r="M65" s="10" t="str">
        <f>IFERROR(VLOOKUP(#REF!, '#level_value'!$A$1:$K$669, 11, FALSE),"")</f>
        <v/>
      </c>
    </row>
    <row r="66" ht="16.5" customHeight="1">
      <c r="A66" s="4">
        <f t="shared" si="3"/>
        <v>20065</v>
      </c>
      <c r="B66" s="5" t="str">
        <f t="shared" si="1"/>
        <v>GearName.20065</v>
      </c>
      <c r="C66" s="13" t="s">
        <v>96</v>
      </c>
      <c r="D66" s="5" t="str">
        <f t="shared" si="2"/>
        <v>GearDesc.20065</v>
      </c>
      <c r="E66" s="6" t="s">
        <v>87</v>
      </c>
      <c r="F66" s="4" t="s">
        <v>56</v>
      </c>
      <c r="G66" s="6" t="s">
        <v>57</v>
      </c>
      <c r="H66" s="7">
        <v>131.0</v>
      </c>
      <c r="I66" s="8" t="str">
        <f>IFERROR(VLOOKUP(H66, GearAttributes!$A$1:$J$3001, 10, FALSE),"")</f>
        <v>#파워증가</v>
      </c>
      <c r="J66" s="8" t="str">
        <f>IFERROR(VLOOKUP(H66, GearAttributes!$A$1:$K$3001, 11, FALSE),"")</f>
        <v>초구1</v>
      </c>
      <c r="K66" s="8" t="str">
        <f>IFERROR(VLOOKUP(H66, GearAttributes!$A$1:$L$3001, 12, FALSE),"")</f>
        <v/>
      </c>
      <c r="L66" s="9">
        <v>3.0</v>
      </c>
      <c r="M66" s="10" t="str">
        <f>IFERROR(VLOOKUP(#REF!, '#level_value'!$A$1:$K$669, 11, FALSE),"")</f>
        <v/>
      </c>
    </row>
    <row r="67" ht="16.5" customHeight="1">
      <c r="A67" s="4">
        <f t="shared" si="3"/>
        <v>20066</v>
      </c>
      <c r="B67" s="5" t="str">
        <f t="shared" si="1"/>
        <v>GearName.20066</v>
      </c>
      <c r="C67" s="13" t="s">
        <v>97</v>
      </c>
      <c r="D67" s="5" t="str">
        <f t="shared" si="2"/>
        <v>GearDesc.20066</v>
      </c>
      <c r="E67" s="6" t="s">
        <v>75</v>
      </c>
      <c r="F67" s="4" t="s">
        <v>56</v>
      </c>
      <c r="G67" s="6" t="s">
        <v>57</v>
      </c>
      <c r="H67" s="7">
        <v>132.0</v>
      </c>
      <c r="I67" s="8" t="str">
        <f>IFERROR(VLOOKUP(H67, GearAttributes!$A$1:$J$3001, 10, FALSE),"")</f>
        <v>#컨택증가</v>
      </c>
      <c r="J67" s="8" t="str">
        <f>IFERROR(VLOOKUP(H67, GearAttributes!$A$1:$K$3001, 11, FALSE),"")</f>
        <v>좌완킬러1</v>
      </c>
      <c r="K67" s="8" t="str">
        <f>IFERROR(VLOOKUP(H67, GearAttributes!$A$1:$L$3001, 12, FALSE),"")</f>
        <v/>
      </c>
      <c r="L67" s="9">
        <v>1.0</v>
      </c>
      <c r="M67" s="10" t="str">
        <f>IFERROR(VLOOKUP(#REF!, '#level_value'!$A$1:$K$669, 11, FALSE),"")</f>
        <v/>
      </c>
    </row>
    <row r="68" ht="16.5" customHeight="1">
      <c r="A68" s="4">
        <f t="shared" si="3"/>
        <v>20067</v>
      </c>
      <c r="B68" s="5" t="str">
        <f t="shared" si="1"/>
        <v>GearName.20067</v>
      </c>
      <c r="C68" s="13" t="s">
        <v>98</v>
      </c>
      <c r="D68" s="5" t="str">
        <f t="shared" si="2"/>
        <v>GearDesc.20067</v>
      </c>
      <c r="E68" s="6" t="s">
        <v>75</v>
      </c>
      <c r="F68" s="4" t="s">
        <v>56</v>
      </c>
      <c r="G68" s="6" t="s">
        <v>57</v>
      </c>
      <c r="H68" s="7">
        <v>132.0</v>
      </c>
      <c r="I68" s="8" t="str">
        <f>IFERROR(VLOOKUP(H68, GearAttributes!$A$1:$J$3001, 10, FALSE),"")</f>
        <v>#컨택증가</v>
      </c>
      <c r="J68" s="8" t="str">
        <f>IFERROR(VLOOKUP(H68, GearAttributes!$A$1:$K$3001, 11, FALSE),"")</f>
        <v>좌완킬러1</v>
      </c>
      <c r="K68" s="8" t="str">
        <f>IFERROR(VLOOKUP(H68, GearAttributes!$A$1:$L$3001, 12, FALSE),"")</f>
        <v/>
      </c>
      <c r="L68" s="9">
        <v>1.0</v>
      </c>
      <c r="M68" s="10" t="str">
        <f>IFERROR(VLOOKUP(#REF!, '#level_value'!$A$1:$K$669, 11, FALSE),"")</f>
        <v/>
      </c>
    </row>
    <row r="69" ht="16.5" customHeight="1">
      <c r="A69" s="4">
        <f t="shared" si="3"/>
        <v>20068</v>
      </c>
      <c r="B69" s="5" t="str">
        <f t="shared" si="1"/>
        <v>GearName.20068</v>
      </c>
      <c r="C69" s="13" t="s">
        <v>99</v>
      </c>
      <c r="D69" s="5" t="str">
        <f t="shared" si="2"/>
        <v>GearDesc.20068</v>
      </c>
      <c r="E69" s="6" t="s">
        <v>75</v>
      </c>
      <c r="F69" s="4" t="s">
        <v>56</v>
      </c>
      <c r="G69" s="6" t="s">
        <v>57</v>
      </c>
      <c r="H69" s="7">
        <v>132.0</v>
      </c>
      <c r="I69" s="8" t="str">
        <f>IFERROR(VLOOKUP(H69, GearAttributes!$A$1:$J$3001, 10, FALSE),"")</f>
        <v>#컨택증가</v>
      </c>
      <c r="J69" s="8" t="str">
        <f>IFERROR(VLOOKUP(H69, GearAttributes!$A$1:$K$3001, 11, FALSE),"")</f>
        <v>좌완킬러1</v>
      </c>
      <c r="K69" s="8" t="str">
        <f>IFERROR(VLOOKUP(H69, GearAttributes!$A$1:$L$3001, 12, FALSE),"")</f>
        <v/>
      </c>
      <c r="L69" s="9">
        <v>1.0</v>
      </c>
      <c r="M69" s="10" t="str">
        <f>IFERROR(VLOOKUP(#REF!, '#level_value'!$A$1:$K$669, 11, FALSE),"")</f>
        <v/>
      </c>
    </row>
    <row r="70" ht="16.5" customHeight="1">
      <c r="A70" s="4">
        <f t="shared" si="3"/>
        <v>20069</v>
      </c>
      <c r="B70" s="5" t="str">
        <f t="shared" si="1"/>
        <v>GearName.20069</v>
      </c>
      <c r="C70" s="13" t="s">
        <v>100</v>
      </c>
      <c r="D70" s="5" t="str">
        <f t="shared" si="2"/>
        <v>GearDesc.20069</v>
      </c>
      <c r="E70" s="6" t="s">
        <v>75</v>
      </c>
      <c r="F70" s="4" t="s">
        <v>56</v>
      </c>
      <c r="G70" s="6" t="s">
        <v>57</v>
      </c>
      <c r="H70" s="7">
        <v>132.0</v>
      </c>
      <c r="I70" s="8" t="str">
        <f>IFERROR(VLOOKUP(H70, GearAttributes!$A$1:$J$3001, 10, FALSE),"")</f>
        <v>#컨택증가</v>
      </c>
      <c r="J70" s="8" t="str">
        <f>IFERROR(VLOOKUP(H70, GearAttributes!$A$1:$K$3001, 11, FALSE),"")</f>
        <v>좌완킬러1</v>
      </c>
      <c r="K70" s="8" t="str">
        <f>IFERROR(VLOOKUP(H70, GearAttributes!$A$1:$L$3001, 12, FALSE),"")</f>
        <v/>
      </c>
      <c r="L70" s="9">
        <v>1.0</v>
      </c>
      <c r="M70" s="10" t="str">
        <f>IFERROR(VLOOKUP(#REF!, '#level_value'!$A$1:$K$669, 11, FALSE),"")</f>
        <v/>
      </c>
    </row>
    <row r="71" ht="16.5" customHeight="1">
      <c r="A71" s="4">
        <f t="shared" si="3"/>
        <v>20070</v>
      </c>
      <c r="B71" s="5" t="str">
        <f t="shared" si="1"/>
        <v>GearName.20070</v>
      </c>
      <c r="C71" s="13" t="s">
        <v>101</v>
      </c>
      <c r="D71" s="5" t="str">
        <f t="shared" si="2"/>
        <v>GearDesc.20070</v>
      </c>
      <c r="E71" s="6" t="s">
        <v>75</v>
      </c>
      <c r="F71" s="4" t="s">
        <v>56</v>
      </c>
      <c r="G71" s="6" t="s">
        <v>57</v>
      </c>
      <c r="H71" s="7">
        <v>132.0</v>
      </c>
      <c r="I71" s="8" t="str">
        <f>IFERROR(VLOOKUP(H71, GearAttributes!$A$1:$J$3001, 10, FALSE),"")</f>
        <v>#컨택증가</v>
      </c>
      <c r="J71" s="8" t="str">
        <f>IFERROR(VLOOKUP(H71, GearAttributes!$A$1:$K$3001, 11, FALSE),"")</f>
        <v>좌완킬러1</v>
      </c>
      <c r="K71" s="8" t="str">
        <f>IFERROR(VLOOKUP(H71, GearAttributes!$A$1:$L$3001, 12, FALSE),"")</f>
        <v/>
      </c>
      <c r="L71" s="9">
        <v>1.0</v>
      </c>
      <c r="M71" s="10" t="str">
        <f>IFERROR(VLOOKUP(#REF!, '#level_value'!$A$1:$K$669, 11, FALSE),"")</f>
        <v/>
      </c>
    </row>
    <row r="72" ht="16.5" customHeight="1">
      <c r="A72" s="4">
        <f t="shared" si="3"/>
        <v>20071</v>
      </c>
      <c r="B72" s="5" t="str">
        <f t="shared" si="1"/>
        <v>GearName.20071</v>
      </c>
      <c r="C72" s="13" t="s">
        <v>102</v>
      </c>
      <c r="D72" s="5" t="str">
        <f t="shared" si="2"/>
        <v>GearDesc.20071</v>
      </c>
      <c r="E72" s="6" t="s">
        <v>21</v>
      </c>
      <c r="F72" s="4" t="s">
        <v>56</v>
      </c>
      <c r="G72" s="6" t="s">
        <v>57</v>
      </c>
      <c r="H72" s="7">
        <v>134.0</v>
      </c>
      <c r="I72" s="8" t="str">
        <f>IFERROR(VLOOKUP(H72, GearAttributes!$A$1:$J$3001, 10, FALSE),"")</f>
        <v>#수비증가</v>
      </c>
      <c r="J72" s="8" t="str">
        <f>IFERROR(VLOOKUP(H72, GearAttributes!$A$1:$K$3001, 11, FALSE),"")</f>
        <v>내야수비1</v>
      </c>
      <c r="K72" s="8" t="str">
        <f>IFERROR(VLOOKUP(H72, GearAttributes!$A$1:$L$3001, 12, FALSE),"")</f>
        <v/>
      </c>
      <c r="L72" s="9">
        <v>2.0</v>
      </c>
      <c r="M72" s="10" t="str">
        <f>IFERROR(VLOOKUP(#REF!, '#level_value'!$A$1:$K$669, 11, FALSE),"")</f>
        <v/>
      </c>
    </row>
    <row r="73" ht="16.5" customHeight="1">
      <c r="A73" s="4">
        <f t="shared" si="3"/>
        <v>20072</v>
      </c>
      <c r="B73" s="5" t="str">
        <f t="shared" si="1"/>
        <v>GearName.20072</v>
      </c>
      <c r="C73" s="13" t="s">
        <v>103</v>
      </c>
      <c r="D73" s="5" t="str">
        <f t="shared" si="2"/>
        <v>GearDesc.20072</v>
      </c>
      <c r="E73" s="6" t="s">
        <v>21</v>
      </c>
      <c r="F73" s="4" t="s">
        <v>56</v>
      </c>
      <c r="G73" s="6" t="s">
        <v>57</v>
      </c>
      <c r="H73" s="7">
        <v>134.0</v>
      </c>
      <c r="I73" s="8" t="str">
        <f>IFERROR(VLOOKUP(H73, GearAttributes!$A$1:$J$3001, 10, FALSE),"")</f>
        <v>#수비증가</v>
      </c>
      <c r="J73" s="8" t="str">
        <f>IFERROR(VLOOKUP(H73, GearAttributes!$A$1:$K$3001, 11, FALSE),"")</f>
        <v>내야수비1</v>
      </c>
      <c r="K73" s="8" t="str">
        <f>IFERROR(VLOOKUP(H73, GearAttributes!$A$1:$L$3001, 12, FALSE),"")</f>
        <v/>
      </c>
      <c r="L73" s="9">
        <v>2.0</v>
      </c>
      <c r="M73" s="10" t="str">
        <f>IFERROR(VLOOKUP(#REF!, '#level_value'!$A$1:$K$669, 11, FALSE),"")</f>
        <v/>
      </c>
    </row>
    <row r="74" ht="16.5" customHeight="1">
      <c r="A74" s="4">
        <f t="shared" si="3"/>
        <v>20073</v>
      </c>
      <c r="B74" s="5" t="str">
        <f t="shared" si="1"/>
        <v>GearName.20073</v>
      </c>
      <c r="C74" s="13" t="s">
        <v>104</v>
      </c>
      <c r="D74" s="5" t="str">
        <f t="shared" si="2"/>
        <v>GearDesc.20073</v>
      </c>
      <c r="E74" s="6" t="s">
        <v>21</v>
      </c>
      <c r="F74" s="4" t="s">
        <v>56</v>
      </c>
      <c r="G74" s="6" t="s">
        <v>57</v>
      </c>
      <c r="H74" s="7">
        <v>134.0</v>
      </c>
      <c r="I74" s="8" t="str">
        <f>IFERROR(VLOOKUP(H74, GearAttributes!$A$1:$J$3001, 10, FALSE),"")</f>
        <v>#수비증가</v>
      </c>
      <c r="J74" s="8" t="str">
        <f>IFERROR(VLOOKUP(H74, GearAttributes!$A$1:$K$3001, 11, FALSE),"")</f>
        <v>내야수비1</v>
      </c>
      <c r="K74" s="8" t="str">
        <f>IFERROR(VLOOKUP(H74, GearAttributes!$A$1:$L$3001, 12, FALSE),"")</f>
        <v/>
      </c>
      <c r="L74" s="9">
        <v>2.0</v>
      </c>
      <c r="M74" s="10" t="str">
        <f>IFERROR(VLOOKUP(#REF!, '#level_value'!$A$1:$K$669, 11, FALSE),"")</f>
        <v/>
      </c>
    </row>
    <row r="75" ht="16.5" customHeight="1">
      <c r="A75" s="4">
        <f t="shared" si="3"/>
        <v>20074</v>
      </c>
      <c r="B75" s="5" t="str">
        <f t="shared" si="1"/>
        <v>GearName.20074</v>
      </c>
      <c r="C75" s="13" t="s">
        <v>105</v>
      </c>
      <c r="D75" s="5" t="str">
        <f t="shared" si="2"/>
        <v>GearDesc.20074</v>
      </c>
      <c r="E75" s="6" t="s">
        <v>21</v>
      </c>
      <c r="F75" s="4" t="s">
        <v>56</v>
      </c>
      <c r="G75" s="6" t="s">
        <v>57</v>
      </c>
      <c r="H75" s="7">
        <v>134.0</v>
      </c>
      <c r="I75" s="8" t="str">
        <f>IFERROR(VLOOKUP(H75, GearAttributes!$A$1:$J$3001, 10, FALSE),"")</f>
        <v>#수비증가</v>
      </c>
      <c r="J75" s="8" t="str">
        <f>IFERROR(VLOOKUP(H75, GearAttributes!$A$1:$K$3001, 11, FALSE),"")</f>
        <v>내야수비1</v>
      </c>
      <c r="K75" s="8" t="str">
        <f>IFERROR(VLOOKUP(H75, GearAttributes!$A$1:$L$3001, 12, FALSE),"")</f>
        <v/>
      </c>
      <c r="L75" s="9">
        <v>2.0</v>
      </c>
      <c r="M75" s="10" t="str">
        <f>IFERROR(VLOOKUP(#REF!, '#level_value'!$A$1:$K$669, 11, FALSE),"")</f>
        <v/>
      </c>
    </row>
    <row r="76" ht="16.5" customHeight="1">
      <c r="A76" s="4">
        <f t="shared" si="3"/>
        <v>20075</v>
      </c>
      <c r="B76" s="5" t="str">
        <f t="shared" si="1"/>
        <v>GearName.20075</v>
      </c>
      <c r="C76" s="13" t="s">
        <v>106</v>
      </c>
      <c r="D76" s="5" t="str">
        <f t="shared" si="2"/>
        <v>GearDesc.20075</v>
      </c>
      <c r="E76" s="6" t="s">
        <v>21</v>
      </c>
      <c r="F76" s="4" t="s">
        <v>56</v>
      </c>
      <c r="G76" s="6" t="s">
        <v>57</v>
      </c>
      <c r="H76" s="7">
        <v>134.0</v>
      </c>
      <c r="I76" s="8" t="str">
        <f>IFERROR(VLOOKUP(H76, GearAttributes!$A$1:$J$3001, 10, FALSE),"")</f>
        <v>#수비증가</v>
      </c>
      <c r="J76" s="8" t="str">
        <f>IFERROR(VLOOKUP(H76, GearAttributes!$A$1:$K$3001, 11, FALSE),"")</f>
        <v>내야수비1</v>
      </c>
      <c r="K76" s="8" t="str">
        <f>IFERROR(VLOOKUP(H76, GearAttributes!$A$1:$L$3001, 12, FALSE),"")</f>
        <v/>
      </c>
      <c r="L76" s="9">
        <v>2.0</v>
      </c>
      <c r="M76" s="10" t="str">
        <f>IFERROR(VLOOKUP(#REF!, '#level_value'!$A$1:$K$669, 11, FALSE),"")</f>
        <v/>
      </c>
    </row>
    <row r="77" ht="16.5" customHeight="1">
      <c r="A77" s="4">
        <f t="shared" si="3"/>
        <v>20076</v>
      </c>
      <c r="B77" s="5" t="str">
        <f t="shared" si="1"/>
        <v>GearName.20076</v>
      </c>
      <c r="C77" s="13" t="s">
        <v>107</v>
      </c>
      <c r="D77" s="5" t="str">
        <f t="shared" si="2"/>
        <v>GearDesc.20076</v>
      </c>
      <c r="E77" s="6" t="s">
        <v>35</v>
      </c>
      <c r="F77" s="4" t="s">
        <v>56</v>
      </c>
      <c r="G77" s="6" t="s">
        <v>57</v>
      </c>
      <c r="H77" s="7">
        <v>136.0</v>
      </c>
      <c r="I77" s="8" t="str">
        <f>IFERROR(VLOOKUP(H77, GearAttributes!$A$1:$J$3001, 10, FALSE),"")</f>
        <v>#주루증가</v>
      </c>
      <c r="J77" s="8" t="str">
        <f>IFERROR(VLOOKUP(H77, GearAttributes!$A$1:$K$3001, 11, FALSE),"")</f>
        <v>주력1</v>
      </c>
      <c r="K77" s="8" t="str">
        <f>IFERROR(VLOOKUP(H77, GearAttributes!$A$1:$L$3001, 12, FALSE),"")</f>
        <v/>
      </c>
      <c r="L77" s="9">
        <v>3.0</v>
      </c>
      <c r="M77" s="10" t="str">
        <f>IFERROR(VLOOKUP(#REF!, '#level_value'!$A$1:$K$669, 11, FALSE),"")</f>
        <v/>
      </c>
    </row>
    <row r="78" ht="16.5" customHeight="1">
      <c r="A78" s="4">
        <f t="shared" si="3"/>
        <v>20077</v>
      </c>
      <c r="B78" s="5" t="str">
        <f t="shared" si="1"/>
        <v>GearName.20077</v>
      </c>
      <c r="C78" s="13" t="s">
        <v>108</v>
      </c>
      <c r="D78" s="5" t="str">
        <f t="shared" si="2"/>
        <v>GearDesc.20077</v>
      </c>
      <c r="E78" s="6" t="s">
        <v>35</v>
      </c>
      <c r="F78" s="4" t="s">
        <v>56</v>
      </c>
      <c r="G78" s="6" t="s">
        <v>57</v>
      </c>
      <c r="H78" s="7">
        <v>136.0</v>
      </c>
      <c r="I78" s="8" t="str">
        <f>IFERROR(VLOOKUP(H78, GearAttributes!$A$1:$J$3001, 10, FALSE),"")</f>
        <v>#주루증가</v>
      </c>
      <c r="J78" s="8" t="str">
        <f>IFERROR(VLOOKUP(H78, GearAttributes!$A$1:$K$3001, 11, FALSE),"")</f>
        <v>주력1</v>
      </c>
      <c r="K78" s="8" t="str">
        <f>IFERROR(VLOOKUP(H78, GearAttributes!$A$1:$L$3001, 12, FALSE),"")</f>
        <v/>
      </c>
      <c r="L78" s="9">
        <v>3.0</v>
      </c>
      <c r="M78" s="10" t="str">
        <f>IFERROR(VLOOKUP(#REF!, '#level_value'!$A$1:$K$669, 11, FALSE),"")</f>
        <v/>
      </c>
    </row>
    <row r="79" ht="16.5" customHeight="1">
      <c r="A79" s="4">
        <f t="shared" si="3"/>
        <v>20078</v>
      </c>
      <c r="B79" s="5" t="str">
        <f t="shared" si="1"/>
        <v>GearName.20078</v>
      </c>
      <c r="C79" s="13" t="s">
        <v>109</v>
      </c>
      <c r="D79" s="5" t="str">
        <f t="shared" si="2"/>
        <v>GearDesc.20078</v>
      </c>
      <c r="E79" s="6" t="s">
        <v>35</v>
      </c>
      <c r="F79" s="4" t="s">
        <v>56</v>
      </c>
      <c r="G79" s="6" t="s">
        <v>57</v>
      </c>
      <c r="H79" s="7">
        <v>136.0</v>
      </c>
      <c r="I79" s="8" t="str">
        <f>IFERROR(VLOOKUP(H79, GearAttributes!$A$1:$J$3001, 10, FALSE),"")</f>
        <v>#주루증가</v>
      </c>
      <c r="J79" s="8" t="str">
        <f>IFERROR(VLOOKUP(H79, GearAttributes!$A$1:$K$3001, 11, FALSE),"")</f>
        <v>주력1</v>
      </c>
      <c r="K79" s="8" t="str">
        <f>IFERROR(VLOOKUP(H79, GearAttributes!$A$1:$L$3001, 12, FALSE),"")</f>
        <v/>
      </c>
      <c r="L79" s="9">
        <v>3.0</v>
      </c>
      <c r="M79" s="10" t="str">
        <f>IFERROR(VLOOKUP(#REF!, '#level_value'!$A$1:$K$669, 11, FALSE),"")</f>
        <v/>
      </c>
    </row>
    <row r="80" ht="16.5" customHeight="1">
      <c r="A80" s="4">
        <f t="shared" si="3"/>
        <v>20079</v>
      </c>
      <c r="B80" s="5" t="str">
        <f t="shared" si="1"/>
        <v>GearName.20079</v>
      </c>
      <c r="C80" s="13" t="s">
        <v>110</v>
      </c>
      <c r="D80" s="5" t="str">
        <f t="shared" si="2"/>
        <v>GearDesc.20079</v>
      </c>
      <c r="E80" s="6" t="s">
        <v>35</v>
      </c>
      <c r="F80" s="4" t="s">
        <v>56</v>
      </c>
      <c r="G80" s="6" t="s">
        <v>57</v>
      </c>
      <c r="H80" s="7">
        <v>136.0</v>
      </c>
      <c r="I80" s="8" t="str">
        <f>IFERROR(VLOOKUP(H80, GearAttributes!$A$1:$J$3001, 10, FALSE),"")</f>
        <v>#주루증가</v>
      </c>
      <c r="J80" s="8" t="str">
        <f>IFERROR(VLOOKUP(H80, GearAttributes!$A$1:$K$3001, 11, FALSE),"")</f>
        <v>주력1</v>
      </c>
      <c r="K80" s="8" t="str">
        <f>IFERROR(VLOOKUP(H80, GearAttributes!$A$1:$L$3001, 12, FALSE),"")</f>
        <v/>
      </c>
      <c r="L80" s="9">
        <v>3.0</v>
      </c>
      <c r="M80" s="10" t="str">
        <f>IFERROR(VLOOKUP(#REF!, '#level_value'!$A$1:$K$669, 11, FALSE),"")</f>
        <v/>
      </c>
    </row>
    <row r="81" ht="16.5" customHeight="1">
      <c r="A81" s="4">
        <f t="shared" si="3"/>
        <v>20080</v>
      </c>
      <c r="B81" s="5" t="str">
        <f t="shared" si="1"/>
        <v>GearName.20080</v>
      </c>
      <c r="C81" s="13" t="s">
        <v>111</v>
      </c>
      <c r="D81" s="5" t="str">
        <f t="shared" si="2"/>
        <v>GearDesc.20080</v>
      </c>
      <c r="E81" s="6" t="s">
        <v>35</v>
      </c>
      <c r="F81" s="4" t="s">
        <v>56</v>
      </c>
      <c r="G81" s="6" t="s">
        <v>57</v>
      </c>
      <c r="H81" s="7">
        <v>136.0</v>
      </c>
      <c r="I81" s="8" t="str">
        <f>IFERROR(VLOOKUP(H81, GearAttributes!$A$1:$J$3001, 10, FALSE),"")</f>
        <v>#주루증가</v>
      </c>
      <c r="J81" s="8" t="str">
        <f>IFERROR(VLOOKUP(H81, GearAttributes!$A$1:$K$3001, 11, FALSE),"")</f>
        <v>주력1</v>
      </c>
      <c r="K81" s="8" t="str">
        <f>IFERROR(VLOOKUP(H81, GearAttributes!$A$1:$L$3001, 12, FALSE),"")</f>
        <v/>
      </c>
      <c r="L81" s="9">
        <v>3.0</v>
      </c>
      <c r="M81" s="10" t="str">
        <f>IFERROR(VLOOKUP(#REF!, '#level_value'!$A$1:$K$669, 11, FALSE),"")</f>
        <v/>
      </c>
    </row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0" max="10" width="36.14"/>
    <col customWidth="1" min="11" max="11" width="26.43"/>
    <col customWidth="1" min="12" max="12" width="20.29"/>
  </cols>
  <sheetData>
    <row r="1">
      <c r="A1" s="14" t="s">
        <v>112</v>
      </c>
      <c r="B1" s="14" t="s">
        <v>113</v>
      </c>
      <c r="C1" s="14" t="s">
        <v>114</v>
      </c>
      <c r="D1" s="14" t="s">
        <v>115</v>
      </c>
      <c r="E1" s="14" t="s">
        <v>116</v>
      </c>
      <c r="F1" s="14" t="s">
        <v>117</v>
      </c>
      <c r="G1" s="14" t="s">
        <v>118</v>
      </c>
      <c r="H1" s="14" t="s">
        <v>119</v>
      </c>
      <c r="I1" s="14" t="s">
        <v>120</v>
      </c>
      <c r="J1" s="15" t="s">
        <v>121</v>
      </c>
      <c r="K1" s="16" t="s">
        <v>122</v>
      </c>
      <c r="L1" s="16" t="s">
        <v>10</v>
      </c>
    </row>
    <row r="2">
      <c r="A2" s="17">
        <v>101.0</v>
      </c>
      <c r="B2" s="18">
        <v>1.0</v>
      </c>
      <c r="C2" s="19"/>
      <c r="D2" s="19"/>
      <c r="E2" s="19"/>
      <c r="F2" s="19"/>
      <c r="G2" s="19"/>
      <c r="H2" s="19"/>
      <c r="I2" s="19"/>
      <c r="J2" s="15" t="s">
        <v>123</v>
      </c>
    </row>
    <row r="3">
      <c r="A3" s="18">
        <f t="shared" ref="A3:A37" si="1">A2+1</f>
        <v>102</v>
      </c>
      <c r="B3" s="19"/>
      <c r="C3" s="18">
        <v>1.0</v>
      </c>
      <c r="D3" s="19"/>
      <c r="E3" s="19"/>
      <c r="F3" s="19"/>
      <c r="G3" s="19"/>
      <c r="H3" s="19"/>
      <c r="I3" s="19"/>
      <c r="J3" s="15" t="s">
        <v>124</v>
      </c>
    </row>
    <row r="4">
      <c r="A4" s="18">
        <f t="shared" si="1"/>
        <v>103</v>
      </c>
      <c r="B4" s="19"/>
      <c r="C4" s="19"/>
      <c r="D4" s="18">
        <v>1.0</v>
      </c>
      <c r="E4" s="19"/>
      <c r="F4" s="19"/>
      <c r="G4" s="19"/>
      <c r="H4" s="19"/>
      <c r="I4" s="19"/>
      <c r="J4" s="15" t="s">
        <v>125</v>
      </c>
    </row>
    <row r="5">
      <c r="A5" s="18">
        <f t="shared" si="1"/>
        <v>104</v>
      </c>
      <c r="B5" s="19"/>
      <c r="C5" s="19"/>
      <c r="D5" s="19"/>
      <c r="E5" s="18">
        <v>1.0</v>
      </c>
      <c r="F5" s="19"/>
      <c r="G5" s="19"/>
      <c r="H5" s="19"/>
      <c r="I5" s="19"/>
      <c r="J5" s="15" t="s">
        <v>126</v>
      </c>
    </row>
    <row r="6">
      <c r="A6" s="18">
        <f t="shared" si="1"/>
        <v>105</v>
      </c>
      <c r="B6" s="19"/>
      <c r="C6" s="19"/>
      <c r="D6" s="19"/>
      <c r="E6" s="19"/>
      <c r="F6" s="18">
        <v>1.0</v>
      </c>
      <c r="G6" s="19"/>
      <c r="H6" s="19"/>
      <c r="I6" s="19"/>
      <c r="J6" s="15" t="s">
        <v>127</v>
      </c>
    </row>
    <row r="7">
      <c r="A7" s="18">
        <f t="shared" si="1"/>
        <v>106</v>
      </c>
      <c r="B7" s="19"/>
      <c r="C7" s="19"/>
      <c r="D7" s="19"/>
      <c r="E7" s="19"/>
      <c r="F7" s="19"/>
      <c r="G7" s="18">
        <v>1.0</v>
      </c>
      <c r="H7" s="19"/>
      <c r="I7" s="19"/>
      <c r="J7" s="15" t="s">
        <v>128</v>
      </c>
    </row>
    <row r="8">
      <c r="A8" s="18">
        <f t="shared" si="1"/>
        <v>107</v>
      </c>
      <c r="B8" s="18">
        <v>1.0</v>
      </c>
      <c r="C8" s="18">
        <v>1.0</v>
      </c>
      <c r="D8" s="19"/>
      <c r="E8" s="19"/>
      <c r="F8" s="19"/>
      <c r="G8" s="19"/>
      <c r="H8" s="19"/>
      <c r="I8" s="19"/>
      <c r="J8" s="15" t="s">
        <v>129</v>
      </c>
    </row>
    <row r="9">
      <c r="A9" s="18">
        <f t="shared" si="1"/>
        <v>108</v>
      </c>
      <c r="B9" s="18">
        <v>1.0</v>
      </c>
      <c r="C9" s="19"/>
      <c r="D9" s="18">
        <v>1.0</v>
      </c>
      <c r="E9" s="19"/>
      <c r="F9" s="19"/>
      <c r="G9" s="19"/>
      <c r="H9" s="19"/>
      <c r="I9" s="19"/>
      <c r="J9" s="15" t="s">
        <v>130</v>
      </c>
    </row>
    <row r="10">
      <c r="A10" s="18">
        <f t="shared" si="1"/>
        <v>109</v>
      </c>
      <c r="B10" s="18">
        <v>1.0</v>
      </c>
      <c r="C10" s="19"/>
      <c r="D10" s="19"/>
      <c r="E10" s="18">
        <v>1.0</v>
      </c>
      <c r="F10" s="19"/>
      <c r="G10" s="19"/>
      <c r="H10" s="19"/>
      <c r="I10" s="19"/>
      <c r="J10" s="15" t="s">
        <v>131</v>
      </c>
    </row>
    <row r="11">
      <c r="A11" s="18">
        <f t="shared" si="1"/>
        <v>110</v>
      </c>
      <c r="B11" s="18">
        <v>1.0</v>
      </c>
      <c r="C11" s="19"/>
      <c r="D11" s="19"/>
      <c r="E11" s="19"/>
      <c r="F11" s="18">
        <v>1.0</v>
      </c>
      <c r="G11" s="19"/>
      <c r="H11" s="19"/>
      <c r="I11" s="19"/>
      <c r="J11" s="15" t="s">
        <v>132</v>
      </c>
    </row>
    <row r="12">
      <c r="A12" s="18">
        <f t="shared" si="1"/>
        <v>111</v>
      </c>
      <c r="B12" s="18">
        <v>1.0</v>
      </c>
      <c r="C12" s="19"/>
      <c r="D12" s="19"/>
      <c r="E12" s="19"/>
      <c r="F12" s="19"/>
      <c r="G12" s="18">
        <v>1.0</v>
      </c>
      <c r="H12" s="19"/>
      <c r="I12" s="19"/>
      <c r="J12" s="15" t="s">
        <v>133</v>
      </c>
    </row>
    <row r="13">
      <c r="A13" s="18">
        <f t="shared" si="1"/>
        <v>112</v>
      </c>
      <c r="B13" s="19"/>
      <c r="C13" s="18">
        <v>1.0</v>
      </c>
      <c r="D13" s="18">
        <v>1.0</v>
      </c>
      <c r="E13" s="19"/>
      <c r="F13" s="19"/>
      <c r="G13" s="19"/>
      <c r="H13" s="19"/>
      <c r="I13" s="19"/>
      <c r="J13" s="15" t="s">
        <v>134</v>
      </c>
    </row>
    <row r="14">
      <c r="A14" s="18">
        <f t="shared" si="1"/>
        <v>113</v>
      </c>
      <c r="B14" s="19"/>
      <c r="C14" s="18">
        <v>1.0</v>
      </c>
      <c r="D14" s="19"/>
      <c r="E14" s="18">
        <v>1.0</v>
      </c>
      <c r="F14" s="19"/>
      <c r="G14" s="19"/>
      <c r="H14" s="19"/>
      <c r="I14" s="19"/>
      <c r="J14" s="15" t="s">
        <v>135</v>
      </c>
    </row>
    <row r="15">
      <c r="A15" s="18">
        <f t="shared" si="1"/>
        <v>114</v>
      </c>
      <c r="B15" s="19"/>
      <c r="C15" s="18">
        <v>1.0</v>
      </c>
      <c r="D15" s="19"/>
      <c r="E15" s="19"/>
      <c r="F15" s="18">
        <v>1.0</v>
      </c>
      <c r="G15" s="19"/>
      <c r="H15" s="19"/>
      <c r="I15" s="19"/>
      <c r="J15" s="15" t="s">
        <v>136</v>
      </c>
    </row>
    <row r="16">
      <c r="A16" s="18">
        <f t="shared" si="1"/>
        <v>115</v>
      </c>
      <c r="B16" s="19"/>
      <c r="C16" s="18">
        <v>1.0</v>
      </c>
      <c r="D16" s="19"/>
      <c r="E16" s="19"/>
      <c r="F16" s="19"/>
      <c r="G16" s="18">
        <v>1.0</v>
      </c>
      <c r="H16" s="19"/>
      <c r="I16" s="19"/>
      <c r="J16" s="15" t="s">
        <v>137</v>
      </c>
    </row>
    <row r="17">
      <c r="A17" s="18">
        <f t="shared" si="1"/>
        <v>116</v>
      </c>
      <c r="B17" s="19"/>
      <c r="C17" s="19"/>
      <c r="D17" s="18">
        <v>1.0</v>
      </c>
      <c r="E17" s="18">
        <v>1.0</v>
      </c>
      <c r="F17" s="19"/>
      <c r="G17" s="19"/>
      <c r="H17" s="19"/>
      <c r="I17" s="19"/>
      <c r="J17" s="15" t="s">
        <v>138</v>
      </c>
    </row>
    <row r="18">
      <c r="A18" s="18">
        <f t="shared" si="1"/>
        <v>117</v>
      </c>
      <c r="B18" s="19"/>
      <c r="C18" s="19"/>
      <c r="D18" s="18">
        <v>1.0</v>
      </c>
      <c r="E18" s="19"/>
      <c r="F18" s="18">
        <v>1.0</v>
      </c>
      <c r="G18" s="19"/>
      <c r="H18" s="19"/>
      <c r="I18" s="19"/>
      <c r="J18" s="15" t="s">
        <v>139</v>
      </c>
    </row>
    <row r="19">
      <c r="A19" s="18">
        <f t="shared" si="1"/>
        <v>118</v>
      </c>
      <c r="B19" s="19"/>
      <c r="C19" s="19"/>
      <c r="D19" s="18">
        <v>1.0</v>
      </c>
      <c r="E19" s="19"/>
      <c r="F19" s="19"/>
      <c r="G19" s="18">
        <v>1.0</v>
      </c>
      <c r="H19" s="19"/>
      <c r="I19" s="19"/>
      <c r="J19" s="15" t="s">
        <v>138</v>
      </c>
    </row>
    <row r="20">
      <c r="A20" s="18">
        <f t="shared" si="1"/>
        <v>119</v>
      </c>
      <c r="B20" s="19"/>
      <c r="C20" s="19"/>
      <c r="D20" s="19"/>
      <c r="E20" s="18">
        <v>1.0</v>
      </c>
      <c r="F20" s="18">
        <v>1.0</v>
      </c>
      <c r="G20" s="19"/>
      <c r="H20" s="19"/>
      <c r="I20" s="19"/>
      <c r="J20" s="15" t="s">
        <v>140</v>
      </c>
    </row>
    <row r="21">
      <c r="A21" s="18">
        <f t="shared" si="1"/>
        <v>120</v>
      </c>
      <c r="B21" s="19"/>
      <c r="C21" s="19"/>
      <c r="D21" s="19"/>
      <c r="E21" s="18">
        <v>1.0</v>
      </c>
      <c r="F21" s="19"/>
      <c r="G21" s="18">
        <v>1.0</v>
      </c>
      <c r="H21" s="19"/>
      <c r="I21" s="19"/>
      <c r="J21" s="15" t="s">
        <v>141</v>
      </c>
    </row>
    <row r="22">
      <c r="A22" s="18">
        <f t="shared" si="1"/>
        <v>121</v>
      </c>
      <c r="B22" s="19"/>
      <c r="C22" s="19"/>
      <c r="D22" s="19"/>
      <c r="E22" s="19"/>
      <c r="F22" s="18">
        <v>1.0</v>
      </c>
      <c r="G22" s="18">
        <v>1.0</v>
      </c>
      <c r="H22" s="19"/>
      <c r="I22" s="19"/>
      <c r="J22" s="15" t="s">
        <v>142</v>
      </c>
    </row>
    <row r="23">
      <c r="A23" s="18">
        <f t="shared" si="1"/>
        <v>122</v>
      </c>
      <c r="B23" s="18">
        <v>1.0</v>
      </c>
      <c r="C23" s="18">
        <v>1.0</v>
      </c>
      <c r="D23" s="18">
        <v>1.0</v>
      </c>
      <c r="E23" s="19"/>
      <c r="F23" s="19"/>
      <c r="G23" s="19"/>
      <c r="H23" s="19"/>
      <c r="I23" s="19"/>
      <c r="J23" s="15" t="s">
        <v>143</v>
      </c>
    </row>
    <row r="24">
      <c r="A24" s="18">
        <f t="shared" si="1"/>
        <v>123</v>
      </c>
      <c r="B24" s="18">
        <v>1.0</v>
      </c>
      <c r="C24" s="19"/>
      <c r="D24" s="18">
        <v>1.0</v>
      </c>
      <c r="E24" s="18">
        <v>1.0</v>
      </c>
      <c r="F24" s="19"/>
      <c r="G24" s="19"/>
      <c r="H24" s="19"/>
      <c r="I24" s="19"/>
      <c r="J24" s="15" t="s">
        <v>144</v>
      </c>
    </row>
    <row r="25">
      <c r="A25" s="18">
        <f t="shared" si="1"/>
        <v>124</v>
      </c>
      <c r="B25" s="18">
        <v>1.0</v>
      </c>
      <c r="C25" s="19"/>
      <c r="D25" s="19"/>
      <c r="E25" s="18">
        <v>1.0</v>
      </c>
      <c r="F25" s="18">
        <v>1.0</v>
      </c>
      <c r="G25" s="19"/>
      <c r="H25" s="19"/>
      <c r="I25" s="19"/>
      <c r="J25" s="15" t="s">
        <v>145</v>
      </c>
    </row>
    <row r="26">
      <c r="A26" s="18">
        <f t="shared" si="1"/>
        <v>125</v>
      </c>
      <c r="B26" s="18">
        <v>1.0</v>
      </c>
      <c r="C26" s="19"/>
      <c r="D26" s="19"/>
      <c r="E26" s="19"/>
      <c r="F26" s="18">
        <v>1.0</v>
      </c>
      <c r="G26" s="18">
        <v>1.0</v>
      </c>
      <c r="H26" s="19"/>
      <c r="I26" s="19"/>
      <c r="J26" s="15" t="s">
        <v>146</v>
      </c>
    </row>
    <row r="27">
      <c r="A27" s="18">
        <f t="shared" si="1"/>
        <v>126</v>
      </c>
      <c r="B27" s="19"/>
      <c r="C27" s="18">
        <v>1.0</v>
      </c>
      <c r="D27" s="18">
        <v>1.0</v>
      </c>
      <c r="E27" s="18">
        <v>1.0</v>
      </c>
      <c r="F27" s="19"/>
      <c r="G27" s="19"/>
      <c r="H27" s="19"/>
      <c r="I27" s="19"/>
      <c r="J27" s="15" t="s">
        <v>147</v>
      </c>
    </row>
    <row r="28">
      <c r="A28" s="18">
        <f t="shared" si="1"/>
        <v>127</v>
      </c>
      <c r="B28" s="19"/>
      <c r="C28" s="18">
        <v>1.0</v>
      </c>
      <c r="D28" s="19"/>
      <c r="E28" s="18">
        <v>1.0</v>
      </c>
      <c r="F28" s="18">
        <v>1.0</v>
      </c>
      <c r="G28" s="19"/>
      <c r="H28" s="19"/>
      <c r="I28" s="19"/>
      <c r="J28" s="15" t="s">
        <v>148</v>
      </c>
    </row>
    <row r="29">
      <c r="A29" s="18">
        <f t="shared" si="1"/>
        <v>128</v>
      </c>
      <c r="B29" s="19"/>
      <c r="C29" s="18">
        <v>1.0</v>
      </c>
      <c r="D29" s="19"/>
      <c r="E29" s="19"/>
      <c r="F29" s="18">
        <v>1.0</v>
      </c>
      <c r="G29" s="18">
        <v>1.0</v>
      </c>
      <c r="H29" s="19"/>
      <c r="I29" s="19"/>
      <c r="J29" s="15" t="s">
        <v>149</v>
      </c>
    </row>
    <row r="30">
      <c r="A30" s="18">
        <f t="shared" si="1"/>
        <v>129</v>
      </c>
      <c r="B30" s="19"/>
      <c r="C30" s="19"/>
      <c r="D30" s="18">
        <v>1.0</v>
      </c>
      <c r="E30" s="18">
        <v>1.0</v>
      </c>
      <c r="F30" s="18">
        <v>1.0</v>
      </c>
      <c r="G30" s="19"/>
      <c r="H30" s="19"/>
      <c r="I30" s="19"/>
      <c r="J30" s="15" t="s">
        <v>150</v>
      </c>
    </row>
    <row r="31">
      <c r="A31" s="18">
        <f t="shared" si="1"/>
        <v>130</v>
      </c>
      <c r="B31" s="19"/>
      <c r="C31" s="19"/>
      <c r="D31" s="18">
        <v>1.0</v>
      </c>
      <c r="E31" s="19"/>
      <c r="F31" s="18">
        <v>1.0</v>
      </c>
      <c r="G31" s="18">
        <v>1.0</v>
      </c>
      <c r="H31" s="19"/>
      <c r="I31" s="19"/>
      <c r="J31" s="15" t="s">
        <v>151</v>
      </c>
    </row>
    <row r="32">
      <c r="A32" s="18">
        <f t="shared" si="1"/>
        <v>131</v>
      </c>
      <c r="B32" s="18">
        <v>1.0</v>
      </c>
      <c r="C32" s="19"/>
      <c r="D32" s="19"/>
      <c r="E32" s="19"/>
      <c r="F32" s="19"/>
      <c r="G32" s="19"/>
      <c r="H32" s="19">
        <v>10012.0</v>
      </c>
      <c r="I32" s="19"/>
      <c r="J32" s="15" t="s">
        <v>123</v>
      </c>
      <c r="K32" s="20" t="str">
        <f>IFERROR(VLOOKUP(H32, '#조건테이블'!$Q$8:$S$300, 2, FALSE),"")</f>
        <v>초구1</v>
      </c>
    </row>
    <row r="33">
      <c r="A33" s="18">
        <f t="shared" si="1"/>
        <v>132</v>
      </c>
      <c r="B33" s="19"/>
      <c r="C33" s="18">
        <v>1.0</v>
      </c>
      <c r="D33" s="19"/>
      <c r="E33" s="19"/>
      <c r="F33" s="19"/>
      <c r="G33" s="19"/>
      <c r="H33" s="19">
        <v>10007.0</v>
      </c>
      <c r="I33" s="19"/>
      <c r="J33" s="15" t="s">
        <v>124</v>
      </c>
      <c r="K33" s="20" t="str">
        <f>IFERROR(VLOOKUP(H33, '#조건테이블'!$Q$8:$S$300, 2, FALSE),"")</f>
        <v>좌완킬러1</v>
      </c>
    </row>
    <row r="34">
      <c r="A34" s="18">
        <f t="shared" si="1"/>
        <v>133</v>
      </c>
      <c r="B34" s="19"/>
      <c r="C34" s="19"/>
      <c r="D34" s="18">
        <v>1.0</v>
      </c>
      <c r="E34" s="19"/>
      <c r="F34" s="19"/>
      <c r="G34" s="19"/>
      <c r="H34" s="19">
        <v>10001.0</v>
      </c>
      <c r="I34" s="19"/>
      <c r="J34" s="15" t="s">
        <v>125</v>
      </c>
      <c r="K34" s="20" t="str">
        <f>IFERROR(VLOOKUP(H34, '#조건테이블'!$Q$8:$S$300, 2, FALSE),"")</f>
        <v>집중력1</v>
      </c>
    </row>
    <row r="35">
      <c r="A35" s="18">
        <f t="shared" si="1"/>
        <v>134</v>
      </c>
      <c r="B35" s="19"/>
      <c r="C35" s="19"/>
      <c r="D35" s="19"/>
      <c r="E35" s="18">
        <v>1.0</v>
      </c>
      <c r="F35" s="19"/>
      <c r="G35" s="19"/>
      <c r="H35" s="19">
        <v>10203.0</v>
      </c>
      <c r="I35" s="19"/>
      <c r="J35" s="15" t="s">
        <v>126</v>
      </c>
      <c r="K35" s="20" t="str">
        <f>IFERROR(VLOOKUP(H35, '#조건테이블'!$Q$8:$S$300, 2, FALSE),"")</f>
        <v>내야수비1</v>
      </c>
    </row>
    <row r="36">
      <c r="A36" s="18">
        <f t="shared" si="1"/>
        <v>135</v>
      </c>
      <c r="B36" s="19"/>
      <c r="C36" s="19"/>
      <c r="D36" s="19"/>
      <c r="E36" s="19"/>
      <c r="F36" s="18">
        <v>1.0</v>
      </c>
      <c r="G36" s="19"/>
      <c r="H36" s="19">
        <v>10221.0</v>
      </c>
      <c r="I36" s="19"/>
      <c r="J36" s="15" t="s">
        <v>127</v>
      </c>
      <c r="K36" s="20" t="str">
        <f>IFERROR(VLOOKUP(H36, '#조건테이블'!$Q$8:$S$300, 2, FALSE),"")</f>
        <v>내야송구1</v>
      </c>
    </row>
    <row r="37">
      <c r="A37" s="18">
        <f t="shared" si="1"/>
        <v>136</v>
      </c>
      <c r="B37" s="19"/>
      <c r="C37" s="19"/>
      <c r="D37" s="19"/>
      <c r="E37" s="19"/>
      <c r="F37" s="19"/>
      <c r="G37" s="18">
        <v>1.0</v>
      </c>
      <c r="H37" s="19">
        <v>10308.0</v>
      </c>
      <c r="I37" s="19"/>
      <c r="J37" s="15" t="s">
        <v>128</v>
      </c>
      <c r="K37" s="20" t="str">
        <f>IFERROR(VLOOKUP(H37, '#조건테이블'!$Q$8:$S$300, 2, FALSE),"")</f>
        <v>주력1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6" width="26.43"/>
    <col customWidth="1" min="10" max="10" width="71.71"/>
    <col customWidth="1" min="11" max="11" width="119.0"/>
  </cols>
  <sheetData>
    <row r="1">
      <c r="A1" s="21" t="str">
        <f>"# 장비 idx " &amp;A3&amp; VLOOKUP(A3,GearData!A$2:C$491,5,FALSE)</f>
        <v>#REF!</v>
      </c>
    </row>
    <row r="2">
      <c r="A2" s="22" t="s">
        <v>0</v>
      </c>
      <c r="B2" s="23" t="s">
        <v>152</v>
      </c>
      <c r="C2" s="22" t="s">
        <v>153</v>
      </c>
      <c r="D2" s="22" t="s">
        <v>154</v>
      </c>
      <c r="E2" s="23" t="s">
        <v>155</v>
      </c>
      <c r="F2" s="22" t="s">
        <v>156</v>
      </c>
      <c r="G2" s="23" t="s">
        <v>157</v>
      </c>
      <c r="H2" s="23" t="s">
        <v>158</v>
      </c>
    </row>
    <row r="3">
      <c r="A3" s="24">
        <v>20001.0</v>
      </c>
      <c r="B3" s="25">
        <v>1.0</v>
      </c>
      <c r="C3" s="25">
        <f>VLOOKUP(D3, '#조건테이블'!$E$8:$F$98, 2, FALSE)</f>
        <v>4</v>
      </c>
      <c r="D3" s="26" t="s">
        <v>159</v>
      </c>
      <c r="E3" s="25">
        <f>VLOOKUP(F3, '#조건테이블'!$A$8:$B$98, 2, FALSE)</f>
        <v>1</v>
      </c>
      <c r="F3" s="27" t="s">
        <v>160</v>
      </c>
      <c r="G3" s="24">
        <v>0.0</v>
      </c>
      <c r="H3" s="24">
        <v>3.0</v>
      </c>
      <c r="J3" s="21" t="str">
        <f t="shared" ref="J3:J5" si="1">""""&amp;B3&amp;""":{"""&amp;C$2&amp;""":"&amp;C3&amp;","""&amp;E$2&amp;""":"&amp;E3&amp;","""&amp;H$2&amp;""":"&amp;H3&amp;"}"</f>
        <v>"1":{"Key":4,"Con":1,"Val":3}</v>
      </c>
      <c r="K3" s="21" t="str">
        <f>"{"&amp;J3&amp;","&amp;J4&amp;","&amp;J5&amp;"}"</f>
        <v>{"1":{"Key":4,"Con":1,"Val":3},"2":{"Key":4,"Con":1,"Val":6},"3":{"Key":4,"Con":1,"Val":9}}</v>
      </c>
    </row>
    <row r="4">
      <c r="A4" s="25"/>
      <c r="B4" s="25">
        <v>2.0</v>
      </c>
      <c r="C4" s="25">
        <f>VLOOKUP(D4, '#조건테이블'!$E$8:$F$98, 2, FALSE)</f>
        <v>4</v>
      </c>
      <c r="D4" s="26" t="s">
        <v>159</v>
      </c>
      <c r="E4" s="25">
        <f>VLOOKUP(F4, '#조건테이블'!$A$8:$B$98, 2, FALSE)</f>
        <v>1</v>
      </c>
      <c r="F4" s="27" t="s">
        <v>160</v>
      </c>
      <c r="G4" s="24">
        <v>0.0</v>
      </c>
      <c r="H4" s="25">
        <v>6.0</v>
      </c>
      <c r="J4" s="21" t="str">
        <f t="shared" si="1"/>
        <v>"2":{"Key":4,"Con":1,"Val":6}</v>
      </c>
    </row>
    <row r="5">
      <c r="A5" s="25"/>
      <c r="B5" s="25">
        <v>3.0</v>
      </c>
      <c r="C5" s="25">
        <f>VLOOKUP(D5, '#조건테이블'!$E$8:$F$98, 2, FALSE)</f>
        <v>4</v>
      </c>
      <c r="D5" s="26" t="s">
        <v>159</v>
      </c>
      <c r="E5" s="25">
        <f>VLOOKUP(F5, '#조건테이블'!$A$8:$B$98, 2, FALSE)</f>
        <v>1</v>
      </c>
      <c r="F5" s="27" t="s">
        <v>160</v>
      </c>
      <c r="G5" s="24">
        <v>0.0</v>
      </c>
      <c r="H5" s="24">
        <v>9.0</v>
      </c>
      <c r="J5" s="21" t="str">
        <f t="shared" si="1"/>
        <v>"3":{"Key":4,"Con":1,"Val":9}</v>
      </c>
    </row>
    <row r="7">
      <c r="A7" s="21" t="str">
        <f>"# 장비 idx " &amp;A9&amp; VLOOKUP(A9,GearData!A$2:C$491,5,FALSE)</f>
        <v>#REF!</v>
      </c>
    </row>
    <row r="8">
      <c r="A8" s="22" t="s">
        <v>0</v>
      </c>
      <c r="B8" s="23" t="s">
        <v>152</v>
      </c>
      <c r="C8" s="22" t="s">
        <v>153</v>
      </c>
      <c r="D8" s="22" t="s">
        <v>154</v>
      </c>
      <c r="E8" s="23" t="s">
        <v>155</v>
      </c>
      <c r="F8" s="22" t="s">
        <v>156</v>
      </c>
      <c r="G8" s="23" t="s">
        <v>157</v>
      </c>
      <c r="H8" s="23" t="s">
        <v>158</v>
      </c>
    </row>
    <row r="9">
      <c r="A9" s="24">
        <v>20002.0</v>
      </c>
      <c r="B9" s="25">
        <v>1.0</v>
      </c>
      <c r="C9" s="25">
        <f>VLOOKUP(D9, '#조건테이블'!$E$8:$F$98, 2, FALSE)</f>
        <v>4</v>
      </c>
      <c r="D9" s="26" t="s">
        <v>159</v>
      </c>
      <c r="E9" s="25">
        <f>VLOOKUP(F9, '#조건테이블'!$A$8:$B$98, 2, FALSE)</f>
        <v>1</v>
      </c>
      <c r="F9" s="27" t="s">
        <v>160</v>
      </c>
      <c r="G9" s="24">
        <v>0.0</v>
      </c>
      <c r="H9" s="25">
        <v>5.0</v>
      </c>
      <c r="J9" s="21" t="str">
        <f t="shared" ref="J9:J11" si="2">""""&amp;B9&amp;""":{"""&amp;C$2&amp;""":"&amp;C9&amp;","""&amp;E$2&amp;""":"&amp;E9&amp;","""&amp;H$2&amp;""":"&amp;H9&amp;"}"</f>
        <v>"1":{"Key":4,"Con":1,"Val":5}</v>
      </c>
      <c r="K9" s="21" t="str">
        <f>"{"&amp;J9&amp;","&amp;J10&amp;","&amp;J11&amp;"}"</f>
        <v>{"1":{"Key":4,"Con":1,"Val":5},"2":{"Key":4,"Con":1,"Val":10},"3":{"Key":4,"Con":1,"Val":15}}</v>
      </c>
    </row>
    <row r="10">
      <c r="A10" s="25"/>
      <c r="B10" s="25">
        <v>2.0</v>
      </c>
      <c r="C10" s="25">
        <f>VLOOKUP(D10, '#조건테이블'!$E$8:$F$98, 2, FALSE)</f>
        <v>4</v>
      </c>
      <c r="D10" s="26" t="s">
        <v>159</v>
      </c>
      <c r="E10" s="25">
        <f>VLOOKUP(F10, '#조건테이블'!$A$8:$B$98, 2, FALSE)</f>
        <v>1</v>
      </c>
      <c r="F10" s="27" t="s">
        <v>160</v>
      </c>
      <c r="G10" s="24">
        <v>0.0</v>
      </c>
      <c r="H10" s="24">
        <v>10.0</v>
      </c>
      <c r="J10" s="21" t="str">
        <f t="shared" si="2"/>
        <v>"2":{"Key":4,"Con":1,"Val":10}</v>
      </c>
    </row>
    <row r="11">
      <c r="A11" s="25"/>
      <c r="B11" s="25">
        <v>3.0</v>
      </c>
      <c r="C11" s="25">
        <f>VLOOKUP(D11, '#조건테이블'!$E$8:$F$98, 2, FALSE)</f>
        <v>4</v>
      </c>
      <c r="D11" s="26" t="s">
        <v>159</v>
      </c>
      <c r="E11" s="25">
        <f>VLOOKUP(F11, '#조건테이블'!$A$8:$B$98, 2, FALSE)</f>
        <v>1</v>
      </c>
      <c r="F11" s="27" t="s">
        <v>160</v>
      </c>
      <c r="G11" s="24">
        <v>0.0</v>
      </c>
      <c r="H11" s="24">
        <v>15.0</v>
      </c>
      <c r="J11" s="21" t="str">
        <f t="shared" si="2"/>
        <v>"3":{"Key":4,"Con":1,"Val":15}</v>
      </c>
    </row>
    <row r="13">
      <c r="A13" s="21" t="str">
        <f>"# 장비 idx " &amp;A15&amp; VLOOKUP(A15,GearData!A$2:C$491,5,FALSE)</f>
        <v>#REF!</v>
      </c>
    </row>
    <row r="14">
      <c r="A14" s="22" t="s">
        <v>0</v>
      </c>
      <c r="B14" s="23" t="s">
        <v>152</v>
      </c>
      <c r="C14" s="22" t="s">
        <v>153</v>
      </c>
      <c r="D14" s="22" t="s">
        <v>154</v>
      </c>
      <c r="E14" s="23" t="s">
        <v>155</v>
      </c>
      <c r="F14" s="22" t="s">
        <v>156</v>
      </c>
      <c r="G14" s="23" t="s">
        <v>157</v>
      </c>
      <c r="H14" s="23" t="s">
        <v>158</v>
      </c>
    </row>
    <row r="15">
      <c r="A15" s="24">
        <v>20003.0</v>
      </c>
      <c r="B15" s="25">
        <v>1.0</v>
      </c>
      <c r="C15" s="25">
        <f>VLOOKUP(D15, '#조건테이블'!$E$8:$F$98, 2, FALSE)</f>
        <v>4</v>
      </c>
      <c r="D15" s="26" t="s">
        <v>159</v>
      </c>
      <c r="E15" s="25">
        <f>VLOOKUP(F15, '#조건테이블'!$A$8:$B$98, 2, FALSE)</f>
        <v>1</v>
      </c>
      <c r="F15" s="27" t="s">
        <v>160</v>
      </c>
      <c r="G15" s="24">
        <v>0.0</v>
      </c>
      <c r="H15" s="24">
        <v>10.0</v>
      </c>
      <c r="J15" s="21" t="str">
        <f t="shared" ref="J15:J17" si="3">""""&amp;B15&amp;""":{"""&amp;C$2&amp;""":"&amp;C15&amp;","""&amp;E$2&amp;""":"&amp;E15&amp;","""&amp;H$2&amp;""":"&amp;H15&amp;"}"</f>
        <v>"1":{"Key":4,"Con":1,"Val":10}</v>
      </c>
      <c r="K15" s="21" t="str">
        <f>"{"&amp;J15&amp;","&amp;J16&amp;","&amp;J17&amp;"}"</f>
        <v>{"1":{"Key":4,"Con":1,"Val":10},"2":{"Key":4,"Con":1,"Val":20},"3":{"Key":4,"Con":1,"Val":30}}</v>
      </c>
    </row>
    <row r="16">
      <c r="A16" s="25"/>
      <c r="B16" s="25">
        <v>2.0</v>
      </c>
      <c r="C16" s="25">
        <f>VLOOKUP(D16, '#조건테이블'!$E$8:$F$98, 2, FALSE)</f>
        <v>4</v>
      </c>
      <c r="D16" s="26" t="s">
        <v>159</v>
      </c>
      <c r="E16" s="25">
        <f>VLOOKUP(F16, '#조건테이블'!$A$8:$B$98, 2, FALSE)</f>
        <v>1</v>
      </c>
      <c r="F16" s="27" t="s">
        <v>160</v>
      </c>
      <c r="G16" s="24">
        <v>0.0</v>
      </c>
      <c r="H16" s="24">
        <v>20.0</v>
      </c>
      <c r="J16" s="21" t="str">
        <f t="shared" si="3"/>
        <v>"2":{"Key":4,"Con":1,"Val":20}</v>
      </c>
    </row>
    <row r="17">
      <c r="A17" s="25"/>
      <c r="B17" s="25">
        <v>3.0</v>
      </c>
      <c r="C17" s="25">
        <f>VLOOKUP(D17, '#조건테이블'!$E$8:$F$98, 2, FALSE)</f>
        <v>4</v>
      </c>
      <c r="D17" s="26" t="s">
        <v>159</v>
      </c>
      <c r="E17" s="25">
        <f>VLOOKUP(F17, '#조건테이블'!$A$8:$B$98, 2, FALSE)</f>
        <v>1</v>
      </c>
      <c r="F17" s="27" t="s">
        <v>160</v>
      </c>
      <c r="G17" s="24">
        <v>0.0</v>
      </c>
      <c r="H17" s="24">
        <v>30.0</v>
      </c>
      <c r="J17" s="21" t="str">
        <f t="shared" si="3"/>
        <v>"3":{"Key":4,"Con":1,"Val":30}</v>
      </c>
    </row>
    <row r="19">
      <c r="A19" s="21" t="str">
        <f>"# 장비 idx " &amp;A21&amp; VLOOKUP(A21,GearData!A$2:C$491,5,FALSE)</f>
        <v>#REF!</v>
      </c>
    </row>
    <row r="20">
      <c r="A20" s="22" t="s">
        <v>0</v>
      </c>
      <c r="B20" s="23" t="s">
        <v>152</v>
      </c>
      <c r="C20" s="22" t="s">
        <v>153</v>
      </c>
      <c r="D20" s="22" t="s">
        <v>154</v>
      </c>
      <c r="E20" s="23" t="s">
        <v>155</v>
      </c>
      <c r="F20" s="22" t="s">
        <v>156</v>
      </c>
      <c r="G20" s="23" t="s">
        <v>157</v>
      </c>
      <c r="H20" s="23" t="s">
        <v>158</v>
      </c>
    </row>
    <row r="21">
      <c r="A21" s="24">
        <v>20004.0</v>
      </c>
      <c r="B21" s="25">
        <v>1.0</v>
      </c>
      <c r="C21" s="25">
        <f>VLOOKUP(D21, '#조건테이블'!$E$8:$F$98, 2, FALSE)</f>
        <v>14</v>
      </c>
      <c r="D21" s="26" t="s">
        <v>161</v>
      </c>
      <c r="E21" s="25">
        <f>VLOOKUP(F21, '#조건테이블'!$A$8:$B$98, 2, FALSE)</f>
        <v>1</v>
      </c>
      <c r="F21" s="27" t="s">
        <v>160</v>
      </c>
      <c r="G21" s="24">
        <v>0.0</v>
      </c>
      <c r="H21" s="24">
        <v>45.0</v>
      </c>
      <c r="I21" s="16" t="s">
        <v>162</v>
      </c>
      <c r="J21" s="21" t="str">
        <f>""""&amp;B21&amp;""":{"""&amp;C$2&amp;""":"&amp;C21&amp;","""&amp;E$2&amp;""":"&amp;E21&amp;","""&amp;H$2&amp;""":"&amp;H21&amp;"}"</f>
        <v>"1":{"Key":14,"Con":1,"Val":45}</v>
      </c>
      <c r="K21" s="21" t="str">
        <f>"{"&amp;J21&amp;"}"</f>
        <v>{"1":{"Key":14,"Con":1,"Val":45}}</v>
      </c>
    </row>
    <row r="23">
      <c r="A23" s="21" t="str">
        <f>"# 장비 idx " &amp;A25&amp; VLOOKUP(A25,GearData!A$2:C$491,5,FALSE)</f>
        <v>#REF!</v>
      </c>
    </row>
    <row r="24">
      <c r="A24" s="22" t="s">
        <v>0</v>
      </c>
      <c r="B24" s="23" t="s">
        <v>152</v>
      </c>
      <c r="C24" s="22" t="s">
        <v>153</v>
      </c>
      <c r="D24" s="22" t="s">
        <v>154</v>
      </c>
      <c r="E24" s="23" t="s">
        <v>155</v>
      </c>
      <c r="F24" s="22" t="s">
        <v>156</v>
      </c>
      <c r="G24" s="23" t="s">
        <v>157</v>
      </c>
      <c r="H24" s="23" t="s">
        <v>158</v>
      </c>
    </row>
    <row r="25">
      <c r="A25" s="24">
        <v>20005.0</v>
      </c>
      <c r="B25" s="25">
        <v>1.0</v>
      </c>
      <c r="C25" s="25">
        <f>VLOOKUP(D25, '#조건테이블'!$E$8:$F$98, 2, FALSE)</f>
        <v>15</v>
      </c>
      <c r="D25" s="26" t="s">
        <v>163</v>
      </c>
      <c r="E25" s="25">
        <f>VLOOKUP(F25, '#조건테이블'!$A$8:$B$98, 2, FALSE)</f>
        <v>1</v>
      </c>
      <c r="F25" s="27" t="s">
        <v>160</v>
      </c>
      <c r="G25" s="24">
        <v>0.0</v>
      </c>
      <c r="H25" s="24">
        <v>45.0</v>
      </c>
      <c r="I25" s="16" t="s">
        <v>162</v>
      </c>
      <c r="J25" s="21" t="str">
        <f>""""&amp;B25&amp;""":{"""&amp;C$2&amp;""":"&amp;C25&amp;","""&amp;E$2&amp;""":"&amp;E25&amp;","""&amp;H$2&amp;""":"&amp;H25&amp;"}"</f>
        <v>"1":{"Key":15,"Con":1,"Val":45}</v>
      </c>
      <c r="K25" s="21" t="str">
        <f>"{"&amp;J25&amp;"}"</f>
        <v>{"1":{"Key":15,"Con":1,"Val":45}}</v>
      </c>
    </row>
    <row r="27">
      <c r="A27" s="21" t="str">
        <f>"# 장비 idx " &amp;A29&amp; VLOOKUP(A29,GearData!A$2:C$491,5,FALSE)</f>
        <v>#REF!</v>
      </c>
    </row>
    <row r="28">
      <c r="A28" s="22" t="s">
        <v>0</v>
      </c>
      <c r="B28" s="23" t="s">
        <v>152</v>
      </c>
      <c r="C28" s="22" t="s">
        <v>153</v>
      </c>
      <c r="D28" s="22" t="s">
        <v>154</v>
      </c>
      <c r="E28" s="23" t="s">
        <v>155</v>
      </c>
      <c r="F28" s="22" t="s">
        <v>156</v>
      </c>
      <c r="G28" s="23" t="s">
        <v>157</v>
      </c>
      <c r="H28" s="23" t="s">
        <v>158</v>
      </c>
    </row>
    <row r="29">
      <c r="A29" s="24">
        <v>20006.0</v>
      </c>
      <c r="B29" s="25">
        <v>1.0</v>
      </c>
      <c r="C29" s="25">
        <f>VLOOKUP(D29, '#조건테이블'!$E$8:$F$98, 2, FALSE)</f>
        <v>13</v>
      </c>
      <c r="D29" s="26" t="s">
        <v>164</v>
      </c>
      <c r="E29" s="24">
        <v>10211.0</v>
      </c>
      <c r="F29" s="27" t="s">
        <v>165</v>
      </c>
      <c r="G29" s="24">
        <v>0.0</v>
      </c>
      <c r="H29" s="24">
        <v>3.0</v>
      </c>
      <c r="I29" s="16" t="s">
        <v>166</v>
      </c>
      <c r="J29" s="21" t="str">
        <f>""""&amp;B29&amp;""":{"""&amp;C$2&amp;""":"&amp;C29&amp;","""&amp;E$2&amp;""":"&amp;E29&amp;","""&amp;H$2&amp;""":"&amp;H29&amp;"}"</f>
        <v>"1":{"Key":13,"Con":10211,"Val":3}</v>
      </c>
      <c r="K29" s="21" t="str">
        <f>"{"&amp;J29&amp;"}"</f>
        <v>{"1":{"Key":13,"Con":10211,"Val":3}}</v>
      </c>
    </row>
    <row r="30">
      <c r="E30" s="16" t="s">
        <v>167</v>
      </c>
    </row>
    <row r="31">
      <c r="A31" s="21" t="str">
        <f>"# 장비 idx " &amp;A33&amp; VLOOKUP(A33,GearData!A$2:C$491,5,FALSE)</f>
        <v>#REF!</v>
      </c>
    </row>
    <row r="32">
      <c r="A32" s="22" t="s">
        <v>0</v>
      </c>
      <c r="B32" s="23" t="s">
        <v>152</v>
      </c>
      <c r="C32" s="22" t="s">
        <v>153</v>
      </c>
      <c r="D32" s="22" t="s">
        <v>154</v>
      </c>
      <c r="E32" s="23" t="s">
        <v>155</v>
      </c>
      <c r="F32" s="22" t="s">
        <v>156</v>
      </c>
      <c r="G32" s="23" t="s">
        <v>157</v>
      </c>
      <c r="H32" s="23" t="s">
        <v>158</v>
      </c>
    </row>
    <row r="33">
      <c r="A33" s="24">
        <v>20007.0</v>
      </c>
      <c r="B33" s="25">
        <v>1.0</v>
      </c>
      <c r="C33" s="25">
        <f>VLOOKUP(D33, '#조건테이블'!$E$8:$F$98, 2, FALSE)</f>
        <v>6</v>
      </c>
      <c r="D33" s="26" t="s">
        <v>168</v>
      </c>
      <c r="E33" s="25">
        <f>VLOOKUP(F33, '#조건테이블'!$A$8:$B$98, 2, FALSE)</f>
        <v>1</v>
      </c>
      <c r="F33" s="27" t="s">
        <v>160</v>
      </c>
      <c r="G33" s="24">
        <v>0.0</v>
      </c>
      <c r="H33" s="24">
        <v>3.0</v>
      </c>
      <c r="J33" s="21" t="str">
        <f t="shared" ref="J33:J35" si="4">""""&amp;B33&amp;""":{"""&amp;C$2&amp;""":"&amp;C33&amp;","""&amp;E$2&amp;""":"&amp;E33&amp;","""&amp;H$2&amp;""":"&amp;H33&amp;"}"</f>
        <v>"1":{"Key":6,"Con":1,"Val":3}</v>
      </c>
      <c r="K33" s="21" t="str">
        <f>"{"&amp;J33&amp;","&amp;J34&amp;","&amp;J35&amp;"}"</f>
        <v>{"1":{"Key":6,"Con":1,"Val":3},"2":{"Key":6,"Con":1,"Val":6},"3":{"Key":6,"Con":1,"Val":9}}</v>
      </c>
    </row>
    <row r="34">
      <c r="A34" s="25"/>
      <c r="B34" s="25">
        <v>2.0</v>
      </c>
      <c r="C34" s="25">
        <f>VLOOKUP(D34, '#조건테이블'!$E$8:$F$98, 2, FALSE)</f>
        <v>6</v>
      </c>
      <c r="D34" s="26" t="s">
        <v>168</v>
      </c>
      <c r="E34" s="25">
        <f>VLOOKUP(F34, '#조건테이블'!$A$8:$B$98, 2, FALSE)</f>
        <v>1</v>
      </c>
      <c r="F34" s="27" t="s">
        <v>160</v>
      </c>
      <c r="G34" s="24">
        <v>0.0</v>
      </c>
      <c r="H34" s="25">
        <v>6.0</v>
      </c>
      <c r="J34" s="21" t="str">
        <f t="shared" si="4"/>
        <v>"2":{"Key":6,"Con":1,"Val":6}</v>
      </c>
    </row>
    <row r="35">
      <c r="A35" s="25"/>
      <c r="B35" s="25">
        <v>3.0</v>
      </c>
      <c r="C35" s="25">
        <f>VLOOKUP(D35, '#조건테이블'!$E$8:$F$98, 2, FALSE)</f>
        <v>6</v>
      </c>
      <c r="D35" s="26" t="s">
        <v>168</v>
      </c>
      <c r="E35" s="25">
        <f>VLOOKUP(F35, '#조건테이블'!$A$8:$B$98, 2, FALSE)</f>
        <v>1</v>
      </c>
      <c r="F35" s="27" t="s">
        <v>160</v>
      </c>
      <c r="G35" s="24">
        <v>0.0</v>
      </c>
      <c r="H35" s="24">
        <v>9.0</v>
      </c>
      <c r="J35" s="21" t="str">
        <f t="shared" si="4"/>
        <v>"3":{"Key":6,"Con":1,"Val":9}</v>
      </c>
    </row>
    <row r="37">
      <c r="A37" s="21" t="str">
        <f>"# 장비 idx " &amp;A39&amp; VLOOKUP(A39,GearData!A$2:C$491,5,FALSE)</f>
        <v>#REF!</v>
      </c>
    </row>
    <row r="38">
      <c r="A38" s="22" t="s">
        <v>0</v>
      </c>
      <c r="B38" s="23" t="s">
        <v>152</v>
      </c>
      <c r="C38" s="22" t="s">
        <v>153</v>
      </c>
      <c r="D38" s="22" t="s">
        <v>154</v>
      </c>
      <c r="E38" s="23" t="s">
        <v>155</v>
      </c>
      <c r="F38" s="22" t="s">
        <v>156</v>
      </c>
      <c r="G38" s="23" t="s">
        <v>157</v>
      </c>
      <c r="H38" s="23" t="s">
        <v>158</v>
      </c>
    </row>
    <row r="39">
      <c r="A39" s="24">
        <v>20008.0</v>
      </c>
      <c r="B39" s="25">
        <v>1.0</v>
      </c>
      <c r="C39" s="25">
        <f>VLOOKUP(D39, '#조건테이블'!$E$8:$F$98, 2, FALSE)</f>
        <v>6</v>
      </c>
      <c r="D39" s="26" t="s">
        <v>168</v>
      </c>
      <c r="E39" s="25">
        <f>VLOOKUP(F39, '#조건테이블'!$A$8:$B$98, 2, FALSE)</f>
        <v>1</v>
      </c>
      <c r="F39" s="27" t="s">
        <v>160</v>
      </c>
      <c r="G39" s="24">
        <v>0.0</v>
      </c>
      <c r="H39" s="25">
        <v>5.0</v>
      </c>
      <c r="J39" s="21" t="str">
        <f t="shared" ref="J39:J41" si="5">""""&amp;B39&amp;""":{"""&amp;C$2&amp;""":"&amp;C39&amp;","""&amp;E$2&amp;""":"&amp;E39&amp;","""&amp;H$2&amp;""":"&amp;H39&amp;"}"</f>
        <v>"1":{"Key":6,"Con":1,"Val":5}</v>
      </c>
      <c r="K39" s="21" t="str">
        <f>"{"&amp;J39&amp;","&amp;J40&amp;","&amp;J41&amp;"}"</f>
        <v>{"1":{"Key":6,"Con":1,"Val":5},"2":{"Key":6,"Con":1,"Val":10},"3":{"Key":6,"Con":1,"Val":15}}</v>
      </c>
    </row>
    <row r="40">
      <c r="A40" s="25"/>
      <c r="B40" s="25">
        <v>2.0</v>
      </c>
      <c r="C40" s="25">
        <f>VLOOKUP(D40, '#조건테이블'!$E$8:$F$98, 2, FALSE)</f>
        <v>6</v>
      </c>
      <c r="D40" s="26" t="s">
        <v>168</v>
      </c>
      <c r="E40" s="25">
        <f>VLOOKUP(F40, '#조건테이블'!$A$8:$B$98, 2, FALSE)</f>
        <v>1</v>
      </c>
      <c r="F40" s="27" t="s">
        <v>160</v>
      </c>
      <c r="G40" s="24">
        <v>0.0</v>
      </c>
      <c r="H40" s="24">
        <v>10.0</v>
      </c>
      <c r="J40" s="21" t="str">
        <f t="shared" si="5"/>
        <v>"2":{"Key":6,"Con":1,"Val":10}</v>
      </c>
    </row>
    <row r="41">
      <c r="A41" s="25"/>
      <c r="B41" s="25">
        <v>3.0</v>
      </c>
      <c r="C41" s="25">
        <f>VLOOKUP(D41, '#조건테이블'!$E$8:$F$98, 2, FALSE)</f>
        <v>6</v>
      </c>
      <c r="D41" s="26" t="s">
        <v>168</v>
      </c>
      <c r="E41" s="25">
        <f>VLOOKUP(F41, '#조건테이블'!$A$8:$B$98, 2, FALSE)</f>
        <v>1</v>
      </c>
      <c r="F41" s="27" t="s">
        <v>160</v>
      </c>
      <c r="G41" s="24">
        <v>0.0</v>
      </c>
      <c r="H41" s="24">
        <v>15.0</v>
      </c>
      <c r="J41" s="21" t="str">
        <f t="shared" si="5"/>
        <v>"3":{"Key":6,"Con":1,"Val":15}</v>
      </c>
    </row>
    <row r="43">
      <c r="A43" s="21" t="str">
        <f>"# 장비 idx " &amp;A45&amp; VLOOKUP(A45,GearData!A$2:C$491,5,FALSE)</f>
        <v>#REF!</v>
      </c>
    </row>
    <row r="44">
      <c r="A44" s="22" t="s">
        <v>0</v>
      </c>
      <c r="B44" s="23" t="s">
        <v>152</v>
      </c>
      <c r="C44" s="22" t="s">
        <v>153</v>
      </c>
      <c r="D44" s="22" t="s">
        <v>154</v>
      </c>
      <c r="E44" s="23" t="s">
        <v>155</v>
      </c>
      <c r="F44" s="22" t="s">
        <v>156</v>
      </c>
      <c r="G44" s="23" t="s">
        <v>157</v>
      </c>
      <c r="H44" s="23" t="s">
        <v>158</v>
      </c>
    </row>
    <row r="45">
      <c r="A45" s="24">
        <v>20009.0</v>
      </c>
      <c r="B45" s="25">
        <v>1.0</v>
      </c>
      <c r="C45" s="25">
        <f>VLOOKUP(D45, '#조건테이블'!$E$8:$F$98, 2, FALSE)</f>
        <v>6</v>
      </c>
      <c r="D45" s="26" t="s">
        <v>168</v>
      </c>
      <c r="E45" s="25">
        <f>VLOOKUP(F45, '#조건테이블'!$A$8:$B$98, 2, FALSE)</f>
        <v>1</v>
      </c>
      <c r="F45" s="27" t="s">
        <v>160</v>
      </c>
      <c r="G45" s="24">
        <v>0.0</v>
      </c>
      <c r="H45" s="24">
        <v>10.0</v>
      </c>
      <c r="J45" s="21" t="str">
        <f t="shared" ref="J45:J47" si="6">""""&amp;B45&amp;""":{"""&amp;C$2&amp;""":"&amp;C45&amp;","""&amp;E$2&amp;""":"&amp;E45&amp;","""&amp;H$2&amp;""":"&amp;H45&amp;"}"</f>
        <v>"1":{"Key":6,"Con":1,"Val":10}</v>
      </c>
      <c r="K45" s="21" t="str">
        <f>"{"&amp;J45&amp;","&amp;J46&amp;","&amp;J47&amp;"}"</f>
        <v>{"1":{"Key":6,"Con":1,"Val":10},"2":{"Key":6,"Con":1,"Val":20},"3":{"Key":6,"Con":1,"Val":30}}</v>
      </c>
    </row>
    <row r="46">
      <c r="A46" s="25"/>
      <c r="B46" s="25">
        <v>2.0</v>
      </c>
      <c r="C46" s="25">
        <f>VLOOKUP(D46, '#조건테이블'!$E$8:$F$98, 2, FALSE)</f>
        <v>6</v>
      </c>
      <c r="D46" s="26" t="s">
        <v>168</v>
      </c>
      <c r="E46" s="25">
        <f>VLOOKUP(F46, '#조건테이블'!$A$8:$B$98, 2, FALSE)</f>
        <v>1</v>
      </c>
      <c r="F46" s="27" t="s">
        <v>160</v>
      </c>
      <c r="G46" s="24">
        <v>0.0</v>
      </c>
      <c r="H46" s="24">
        <v>20.0</v>
      </c>
      <c r="J46" s="21" t="str">
        <f t="shared" si="6"/>
        <v>"2":{"Key":6,"Con":1,"Val":20}</v>
      </c>
    </row>
    <row r="47">
      <c r="A47" s="25"/>
      <c r="B47" s="25">
        <v>3.0</v>
      </c>
      <c r="C47" s="25">
        <f>VLOOKUP(D47, '#조건테이블'!$E$8:$F$98, 2, FALSE)</f>
        <v>6</v>
      </c>
      <c r="D47" s="26" t="s">
        <v>168</v>
      </c>
      <c r="E47" s="25">
        <f>VLOOKUP(F47, '#조건테이블'!$A$8:$B$98, 2, FALSE)</f>
        <v>1</v>
      </c>
      <c r="F47" s="27" t="s">
        <v>160</v>
      </c>
      <c r="G47" s="24">
        <v>0.0</v>
      </c>
      <c r="H47" s="24">
        <v>30.0</v>
      </c>
      <c r="J47" s="21" t="str">
        <f t="shared" si="6"/>
        <v>"3":{"Key":6,"Con":1,"Val":30}</v>
      </c>
    </row>
    <row r="49">
      <c r="A49" s="21" t="str">
        <f>"# 장비 idx " &amp;A51&amp; VLOOKUP(A51,GearData!A$2:C$491,5,FALSE)</f>
        <v>#REF!</v>
      </c>
    </row>
    <row r="50">
      <c r="A50" s="22" t="s">
        <v>0</v>
      </c>
      <c r="B50" s="23" t="s">
        <v>152</v>
      </c>
      <c r="C50" s="22" t="s">
        <v>153</v>
      </c>
      <c r="D50" s="22" t="s">
        <v>154</v>
      </c>
      <c r="E50" s="23" t="s">
        <v>155</v>
      </c>
      <c r="F50" s="22" t="s">
        <v>156</v>
      </c>
      <c r="G50" s="23" t="s">
        <v>157</v>
      </c>
      <c r="H50" s="23" t="s">
        <v>158</v>
      </c>
    </row>
    <row r="51">
      <c r="A51" s="24">
        <v>20010.0</v>
      </c>
      <c r="B51" s="25">
        <v>1.0</v>
      </c>
      <c r="C51" s="25">
        <f>VLOOKUP(D51, '#조건테이블'!$E$8:$F$98, 2, FALSE)</f>
        <v>13</v>
      </c>
      <c r="D51" s="26" t="s">
        <v>164</v>
      </c>
      <c r="E51" s="24">
        <v>10303.0</v>
      </c>
      <c r="F51" s="27" t="s">
        <v>169</v>
      </c>
      <c r="G51" s="24">
        <v>0.0</v>
      </c>
      <c r="H51" s="24">
        <v>3.0</v>
      </c>
      <c r="I51" s="16" t="s">
        <v>166</v>
      </c>
      <c r="J51" s="21" t="str">
        <f>""""&amp;B51&amp;""":{"""&amp;C$2&amp;""":"&amp;C51&amp;","""&amp;E$2&amp;""":"&amp;E51&amp;","""&amp;H$2&amp;""":"&amp;H51&amp;"}"</f>
        <v>"1":{"Key":13,"Con":10303,"Val":3}</v>
      </c>
      <c r="K51" s="21" t="str">
        <f>"{"&amp;J51&amp;"}"</f>
        <v>{"1":{"Key":13,"Con":10303,"Val":3}}</v>
      </c>
    </row>
    <row r="53">
      <c r="A53" s="21" t="str">
        <f>"# 장비 idx " &amp;A55&amp; VLOOKUP(A55,GearData!A$2:C$491,5,FALSE)</f>
        <v>#REF!</v>
      </c>
    </row>
    <row r="54">
      <c r="A54" s="22" t="s">
        <v>0</v>
      </c>
      <c r="B54" s="23" t="s">
        <v>152</v>
      </c>
      <c r="C54" s="22" t="s">
        <v>153</v>
      </c>
      <c r="D54" s="22" t="s">
        <v>154</v>
      </c>
      <c r="E54" s="23" t="s">
        <v>155</v>
      </c>
      <c r="F54" s="22" t="s">
        <v>156</v>
      </c>
      <c r="G54" s="23" t="s">
        <v>157</v>
      </c>
      <c r="H54" s="23" t="s">
        <v>158</v>
      </c>
    </row>
    <row r="55">
      <c r="A55" s="24">
        <v>20011.0</v>
      </c>
      <c r="B55" s="25">
        <v>1.0</v>
      </c>
      <c r="C55" s="25">
        <f>VLOOKUP(D55, '#조건테이블'!$E$8:$F$98, 2, FALSE)</f>
        <v>13</v>
      </c>
      <c r="D55" s="26" t="s">
        <v>164</v>
      </c>
      <c r="E55" s="24">
        <v>10304.0</v>
      </c>
      <c r="F55" s="27" t="s">
        <v>170</v>
      </c>
      <c r="G55" s="24">
        <v>0.0</v>
      </c>
      <c r="H55" s="24">
        <v>3.0</v>
      </c>
      <c r="I55" s="16" t="s">
        <v>166</v>
      </c>
      <c r="J55" s="21" t="str">
        <f>""""&amp;B55&amp;""":{"""&amp;C$2&amp;""":"&amp;C55&amp;","""&amp;E$2&amp;""":"&amp;E55&amp;","""&amp;H$2&amp;""":"&amp;H55&amp;"}"</f>
        <v>"1":{"Key":13,"Con":10304,"Val":3}</v>
      </c>
      <c r="K55" s="21" t="str">
        <f>"{"&amp;J55&amp;"}"</f>
        <v>{"1":{"Key":13,"Con":10304,"Val":3}}</v>
      </c>
    </row>
    <row r="57">
      <c r="A57" s="21" t="str">
        <f>"# 장비 idx " &amp;A59&amp; VLOOKUP(A59,GearData!A$2:C$491,5,FALSE)</f>
        <v>#REF!</v>
      </c>
    </row>
    <row r="58">
      <c r="A58" s="22" t="s">
        <v>0</v>
      </c>
      <c r="B58" s="23" t="s">
        <v>152</v>
      </c>
      <c r="C58" s="22" t="s">
        <v>153</v>
      </c>
      <c r="D58" s="22" t="s">
        <v>154</v>
      </c>
      <c r="E58" s="23" t="s">
        <v>155</v>
      </c>
      <c r="F58" s="22" t="s">
        <v>156</v>
      </c>
      <c r="G58" s="23" t="s">
        <v>157</v>
      </c>
      <c r="H58" s="23" t="s">
        <v>158</v>
      </c>
    </row>
    <row r="59">
      <c r="A59" s="24">
        <v>20012.0</v>
      </c>
      <c r="B59" s="25">
        <v>1.0</v>
      </c>
      <c r="C59" s="25">
        <f>VLOOKUP(D59, '#조건테이블'!$E$8:$F$98, 2, FALSE)</f>
        <v>13</v>
      </c>
      <c r="D59" s="26" t="s">
        <v>164</v>
      </c>
      <c r="E59" s="24">
        <v>10305.0</v>
      </c>
      <c r="F59" s="27" t="s">
        <v>171</v>
      </c>
      <c r="G59" s="24">
        <v>0.0</v>
      </c>
      <c r="H59" s="24">
        <v>3.0</v>
      </c>
      <c r="I59" s="16" t="s">
        <v>166</v>
      </c>
      <c r="J59" s="21" t="str">
        <f>""""&amp;B59&amp;""":{"""&amp;C$2&amp;""":"&amp;C59&amp;","""&amp;E$2&amp;""":"&amp;E59&amp;","""&amp;H$2&amp;""":"&amp;H59&amp;"}"</f>
        <v>"1":{"Key":13,"Con":10305,"Val":3}</v>
      </c>
      <c r="K59" s="21" t="str">
        <f>"{"&amp;J59&amp;"}"</f>
        <v>{"1":{"Key":13,"Con":10305,"Val":3}}</v>
      </c>
    </row>
    <row r="61">
      <c r="A61" s="21" t="str">
        <f>"# 장비 idx " &amp;A63&amp; VLOOKUP(A63,GearData!A$2:C$491,5,FALSE)</f>
        <v>#REF!</v>
      </c>
    </row>
    <row r="62">
      <c r="A62" s="22" t="s">
        <v>0</v>
      </c>
      <c r="B62" s="23" t="s">
        <v>152</v>
      </c>
      <c r="C62" s="22" t="s">
        <v>153</v>
      </c>
      <c r="D62" s="22" t="s">
        <v>154</v>
      </c>
      <c r="E62" s="23" t="s">
        <v>155</v>
      </c>
      <c r="F62" s="22" t="s">
        <v>156</v>
      </c>
      <c r="G62" s="23" t="s">
        <v>157</v>
      </c>
      <c r="H62" s="23" t="s">
        <v>158</v>
      </c>
    </row>
    <row r="63">
      <c r="A63" s="24">
        <v>20013.0</v>
      </c>
      <c r="B63" s="25">
        <v>1.0</v>
      </c>
      <c r="C63" s="25">
        <f>VLOOKUP(D63, '#조건테이블'!$E$8:$F$98, 2, FALSE)</f>
        <v>3</v>
      </c>
      <c r="D63" s="26" t="s">
        <v>172</v>
      </c>
      <c r="E63" s="25">
        <f>VLOOKUP(F63, '#조건테이블'!$A$8:$B$98, 2, FALSE)</f>
        <v>1</v>
      </c>
      <c r="F63" s="27" t="s">
        <v>160</v>
      </c>
      <c r="G63" s="24">
        <v>0.0</v>
      </c>
      <c r="H63" s="24">
        <v>2.0</v>
      </c>
      <c r="J63" s="21" t="str">
        <f t="shared" ref="J63:J65" si="7">""""&amp;B63&amp;""":{"""&amp;C$2&amp;""":"&amp;C63&amp;","""&amp;E$2&amp;""":"&amp;E63&amp;","""&amp;H$2&amp;""":"&amp;H63&amp;"}"</f>
        <v>"1":{"Key":3,"Con":1,"Val":2}</v>
      </c>
      <c r="K63" s="21" t="str">
        <f>"{"&amp;J63&amp;","&amp;J64&amp;","&amp;J65&amp;"}"</f>
        <v>{"1":{"Key":3,"Con":1,"Val":2},"2":{"Key":3,"Con":1,"Val":4},"3":{"Key":3,"Con":1,"Val":7}}</v>
      </c>
    </row>
    <row r="64">
      <c r="A64" s="25"/>
      <c r="B64" s="25">
        <v>2.0</v>
      </c>
      <c r="C64" s="25">
        <f>VLOOKUP(D64, '#조건테이블'!$E$8:$F$98, 2, FALSE)</f>
        <v>3</v>
      </c>
      <c r="D64" s="26" t="s">
        <v>172</v>
      </c>
      <c r="E64" s="25">
        <f>VLOOKUP(F64, '#조건테이블'!$A$8:$B$98, 2, FALSE)</f>
        <v>1</v>
      </c>
      <c r="F64" s="27" t="s">
        <v>160</v>
      </c>
      <c r="G64" s="24">
        <v>0.0</v>
      </c>
      <c r="H64" s="24">
        <v>4.0</v>
      </c>
      <c r="J64" s="21" t="str">
        <f t="shared" si="7"/>
        <v>"2":{"Key":3,"Con":1,"Val":4}</v>
      </c>
    </row>
    <row r="65">
      <c r="A65" s="25"/>
      <c r="B65" s="25">
        <v>3.0</v>
      </c>
      <c r="C65" s="25">
        <f>VLOOKUP(D65, '#조건테이블'!$E$8:$F$98, 2, FALSE)</f>
        <v>3</v>
      </c>
      <c r="D65" s="26" t="s">
        <v>172</v>
      </c>
      <c r="E65" s="25">
        <f>VLOOKUP(F65, '#조건테이블'!$A$8:$B$98, 2, FALSE)</f>
        <v>1</v>
      </c>
      <c r="F65" s="27" t="s">
        <v>160</v>
      </c>
      <c r="G65" s="24">
        <v>0.0</v>
      </c>
      <c r="H65" s="24">
        <v>7.0</v>
      </c>
      <c r="J65" s="21" t="str">
        <f t="shared" si="7"/>
        <v>"3":{"Key":3,"Con":1,"Val":7}</v>
      </c>
    </row>
    <row r="67">
      <c r="A67" s="21" t="str">
        <f>"# 장비 idx " &amp;A69&amp; VLOOKUP(A69,GearData!A$2:C$491,5,FALSE)</f>
        <v>#REF!</v>
      </c>
    </row>
    <row r="68">
      <c r="A68" s="22" t="s">
        <v>0</v>
      </c>
      <c r="B68" s="23" t="s">
        <v>152</v>
      </c>
      <c r="C68" s="22" t="s">
        <v>153</v>
      </c>
      <c r="D68" s="22" t="s">
        <v>154</v>
      </c>
      <c r="E68" s="23" t="s">
        <v>155</v>
      </c>
      <c r="F68" s="22" t="s">
        <v>156</v>
      </c>
      <c r="G68" s="23" t="s">
        <v>157</v>
      </c>
      <c r="H68" s="23" t="s">
        <v>158</v>
      </c>
    </row>
    <row r="69">
      <c r="A69" s="24">
        <v>20014.0</v>
      </c>
      <c r="B69" s="25">
        <v>1.0</v>
      </c>
      <c r="C69" s="25">
        <f>VLOOKUP(D69, '#조건테이블'!$E$8:$F$98, 2, FALSE)</f>
        <v>3</v>
      </c>
      <c r="D69" s="26" t="s">
        <v>172</v>
      </c>
      <c r="E69" s="25">
        <f>VLOOKUP(F69, '#조건테이블'!$A$8:$B$98, 2, FALSE)</f>
        <v>1</v>
      </c>
      <c r="F69" s="27" t="s">
        <v>160</v>
      </c>
      <c r="G69" s="24">
        <v>0.0</v>
      </c>
      <c r="H69" s="24">
        <v>3.0</v>
      </c>
      <c r="J69" s="21" t="str">
        <f t="shared" ref="J69:J71" si="8">""""&amp;B69&amp;""":{"""&amp;C$2&amp;""":"&amp;C69&amp;","""&amp;E$2&amp;""":"&amp;E69&amp;","""&amp;H$2&amp;""":"&amp;H69&amp;"}"</f>
        <v>"1":{"Key":3,"Con":1,"Val":3}</v>
      </c>
      <c r="K69" s="21" t="str">
        <f>"{"&amp;J69&amp;","&amp;J70&amp;","&amp;J71&amp;"}"</f>
        <v>{"1":{"Key":3,"Con":1,"Val":3},"2":{"Key":3,"Con":1,"Val":6},"3":{"Key":3,"Con":1,"Val":10}}</v>
      </c>
    </row>
    <row r="70">
      <c r="A70" s="25"/>
      <c r="B70" s="25">
        <v>2.0</v>
      </c>
      <c r="C70" s="25">
        <f>VLOOKUP(D70, '#조건테이블'!$E$8:$F$98, 2, FALSE)</f>
        <v>3</v>
      </c>
      <c r="D70" s="26" t="s">
        <v>172</v>
      </c>
      <c r="E70" s="25">
        <f>VLOOKUP(F70, '#조건테이블'!$A$8:$B$98, 2, FALSE)</f>
        <v>1</v>
      </c>
      <c r="F70" s="27" t="s">
        <v>160</v>
      </c>
      <c r="G70" s="24">
        <v>0.0</v>
      </c>
      <c r="H70" s="24">
        <v>6.0</v>
      </c>
      <c r="J70" s="21" t="str">
        <f t="shared" si="8"/>
        <v>"2":{"Key":3,"Con":1,"Val":6}</v>
      </c>
    </row>
    <row r="71">
      <c r="A71" s="25"/>
      <c r="B71" s="25">
        <v>3.0</v>
      </c>
      <c r="C71" s="25">
        <f>VLOOKUP(D71, '#조건테이블'!$E$8:$F$98, 2, FALSE)</f>
        <v>3</v>
      </c>
      <c r="D71" s="26" t="s">
        <v>172</v>
      </c>
      <c r="E71" s="25">
        <f>VLOOKUP(F71, '#조건테이블'!$A$8:$B$98, 2, FALSE)</f>
        <v>1</v>
      </c>
      <c r="F71" s="27" t="s">
        <v>160</v>
      </c>
      <c r="G71" s="24">
        <v>0.0</v>
      </c>
      <c r="H71" s="24">
        <v>10.0</v>
      </c>
      <c r="J71" s="21" t="str">
        <f t="shared" si="8"/>
        <v>"3":{"Key":3,"Con":1,"Val":10}</v>
      </c>
    </row>
    <row r="73">
      <c r="A73" s="21" t="str">
        <f>"# 장비 idx " &amp;A75&amp; VLOOKUP(A75,GearData!A$2:C$491,5,FALSE)</f>
        <v>#REF!</v>
      </c>
    </row>
    <row r="74">
      <c r="A74" s="22" t="s">
        <v>0</v>
      </c>
      <c r="B74" s="23" t="s">
        <v>152</v>
      </c>
      <c r="C74" s="22" t="s">
        <v>153</v>
      </c>
      <c r="D74" s="22" t="s">
        <v>154</v>
      </c>
      <c r="E74" s="23" t="s">
        <v>155</v>
      </c>
      <c r="F74" s="22" t="s">
        <v>156</v>
      </c>
      <c r="G74" s="23" t="s">
        <v>157</v>
      </c>
      <c r="H74" s="23" t="s">
        <v>158</v>
      </c>
    </row>
    <row r="75">
      <c r="A75" s="24">
        <v>20015.0</v>
      </c>
      <c r="B75" s="25">
        <v>1.0</v>
      </c>
      <c r="C75" s="25">
        <f>VLOOKUP(D75, '#조건테이블'!$E$8:$F$98, 2, FALSE)</f>
        <v>3</v>
      </c>
      <c r="D75" s="26" t="s">
        <v>172</v>
      </c>
      <c r="E75" s="25">
        <f>VLOOKUP(F75, '#조건테이블'!$A$8:$B$98, 2, FALSE)</f>
        <v>1</v>
      </c>
      <c r="F75" s="27" t="s">
        <v>160</v>
      </c>
      <c r="G75" s="24">
        <v>0.0</v>
      </c>
      <c r="H75" s="24">
        <v>5.0</v>
      </c>
      <c r="J75" s="21" t="str">
        <f t="shared" ref="J75:J77" si="9">""""&amp;B75&amp;""":{"""&amp;C$2&amp;""":"&amp;C75&amp;","""&amp;E$2&amp;""":"&amp;E75&amp;","""&amp;H$2&amp;""":"&amp;H75&amp;"}"</f>
        <v>"1":{"Key":3,"Con":1,"Val":5}</v>
      </c>
      <c r="K75" s="21" t="str">
        <f>"{"&amp;J75&amp;","&amp;J76&amp;","&amp;J77&amp;"}"</f>
        <v>{"1":{"Key":3,"Con":1,"Val":5},"2":{"Key":3,"Con":1,"Val":10},"3":{"Key":3,"Con":1,"Val":15}}</v>
      </c>
    </row>
    <row r="76">
      <c r="A76" s="25"/>
      <c r="B76" s="25">
        <v>2.0</v>
      </c>
      <c r="C76" s="25">
        <f>VLOOKUP(D76, '#조건테이블'!$E$8:$F$98, 2, FALSE)</f>
        <v>3</v>
      </c>
      <c r="D76" s="26" t="s">
        <v>172</v>
      </c>
      <c r="E76" s="25">
        <f>VLOOKUP(F76, '#조건테이블'!$A$8:$B$98, 2, FALSE)</f>
        <v>1</v>
      </c>
      <c r="F76" s="27" t="s">
        <v>160</v>
      </c>
      <c r="G76" s="24">
        <v>0.0</v>
      </c>
      <c r="H76" s="24">
        <v>10.0</v>
      </c>
      <c r="J76" s="21" t="str">
        <f t="shared" si="9"/>
        <v>"2":{"Key":3,"Con":1,"Val":10}</v>
      </c>
    </row>
    <row r="77">
      <c r="A77" s="25"/>
      <c r="B77" s="25">
        <v>3.0</v>
      </c>
      <c r="C77" s="25">
        <f>VLOOKUP(D77, '#조건테이블'!$E$8:$F$98, 2, FALSE)</f>
        <v>3</v>
      </c>
      <c r="D77" s="26" t="s">
        <v>172</v>
      </c>
      <c r="E77" s="25">
        <f>VLOOKUP(F77, '#조건테이블'!$A$8:$B$98, 2, FALSE)</f>
        <v>1</v>
      </c>
      <c r="F77" s="27" t="s">
        <v>160</v>
      </c>
      <c r="G77" s="24">
        <v>0.0</v>
      </c>
      <c r="H77" s="24">
        <v>15.0</v>
      </c>
      <c r="J77" s="21" t="str">
        <f t="shared" si="9"/>
        <v>"3":{"Key":3,"Con":1,"Val":15}</v>
      </c>
    </row>
    <row r="79">
      <c r="A79" s="21" t="str">
        <f>"# 장비 idx " &amp;A81&amp; VLOOKUP(A81,GearData!A$2:C$491,5,FALSE)</f>
        <v>#REF!</v>
      </c>
    </row>
    <row r="80">
      <c r="A80" s="22" t="s">
        <v>0</v>
      </c>
      <c r="B80" s="23" t="s">
        <v>152</v>
      </c>
      <c r="C80" s="22" t="s">
        <v>153</v>
      </c>
      <c r="D80" s="22" t="s">
        <v>154</v>
      </c>
      <c r="E80" s="23" t="s">
        <v>155</v>
      </c>
      <c r="F80" s="22" t="s">
        <v>156</v>
      </c>
      <c r="G80" s="23" t="s">
        <v>157</v>
      </c>
      <c r="H80" s="23" t="s">
        <v>158</v>
      </c>
    </row>
    <row r="81">
      <c r="A81" s="24">
        <v>20016.0</v>
      </c>
      <c r="B81" s="25">
        <v>1.0</v>
      </c>
      <c r="C81" s="25">
        <f>VLOOKUP(D81, '#조건테이블'!$E$8:$F$98, 2, FALSE)</f>
        <v>9</v>
      </c>
      <c r="D81" s="26" t="s">
        <v>173</v>
      </c>
      <c r="E81" s="25">
        <f>VLOOKUP(F81, '#조건테이블'!$A$8:$B$98, 2, FALSE)</f>
        <v>1</v>
      </c>
      <c r="F81" s="27" t="s">
        <v>160</v>
      </c>
      <c r="G81" s="24">
        <v>0.0</v>
      </c>
      <c r="H81" s="24">
        <v>45.0</v>
      </c>
      <c r="I81" s="16" t="s">
        <v>174</v>
      </c>
      <c r="J81" s="21" t="str">
        <f>""""&amp;B81&amp;""":{"""&amp;C$2&amp;""":"&amp;C81&amp;","""&amp;E$2&amp;""":"&amp;E81&amp;","""&amp;H$2&amp;""":"&amp;H81&amp;"}"</f>
        <v>"1":{"Key":9,"Con":1,"Val":45}</v>
      </c>
      <c r="K81" s="21" t="str">
        <f>"{"&amp;J81&amp;"}"</f>
        <v>{"1":{"Key":9,"Con":1,"Val":45}}</v>
      </c>
    </row>
    <row r="83">
      <c r="A83" s="21" t="str">
        <f>"# 장비 idx " &amp;A85&amp; VLOOKUP(A85,GearData!A$2:C$491,5,FALSE)</f>
        <v>#REF!</v>
      </c>
    </row>
    <row r="84">
      <c r="A84" s="22" t="s">
        <v>0</v>
      </c>
      <c r="B84" s="23" t="s">
        <v>152</v>
      </c>
      <c r="C84" s="22" t="s">
        <v>153</v>
      </c>
      <c r="D84" s="22" t="s">
        <v>154</v>
      </c>
      <c r="E84" s="23" t="s">
        <v>155</v>
      </c>
      <c r="F84" s="22" t="s">
        <v>156</v>
      </c>
      <c r="G84" s="23" t="s">
        <v>157</v>
      </c>
      <c r="H84" s="23" t="s">
        <v>158</v>
      </c>
    </row>
    <row r="85">
      <c r="A85" s="24">
        <v>20017.0</v>
      </c>
      <c r="B85" s="25">
        <v>1.0</v>
      </c>
      <c r="C85" s="25">
        <f>VLOOKUP(D85, '#조건테이블'!$E$8:$F$98, 2, FALSE)</f>
        <v>16</v>
      </c>
      <c r="D85" s="26" t="s">
        <v>175</v>
      </c>
      <c r="E85" s="25">
        <f>VLOOKUP(F85, '#조건테이블'!$A$8:$B$98, 2, FALSE)</f>
        <v>1</v>
      </c>
      <c r="F85" s="27" t="s">
        <v>160</v>
      </c>
      <c r="G85" s="24">
        <v>0.0</v>
      </c>
      <c r="H85" s="24">
        <v>45.0</v>
      </c>
      <c r="I85" s="16" t="s">
        <v>174</v>
      </c>
      <c r="J85" s="21" t="str">
        <f>""""&amp;B85&amp;""":{"""&amp;C$2&amp;""":"&amp;C85&amp;","""&amp;E$2&amp;""":"&amp;E85&amp;","""&amp;H$2&amp;""":"&amp;H85&amp;"}"</f>
        <v>"1":{"Key":16,"Con":1,"Val":45}</v>
      </c>
      <c r="K85" s="21" t="str">
        <f>"{"&amp;J85&amp;"}"</f>
        <v>{"1":{"Key":16,"Con":1,"Val":45}}</v>
      </c>
    </row>
    <row r="87">
      <c r="A87" s="21" t="str">
        <f>"# 장비 idx " &amp;A89&amp; VLOOKUP(A89,GearData!A$2:C$491,5,FALSE)</f>
        <v>#REF!</v>
      </c>
    </row>
    <row r="88">
      <c r="A88" s="22" t="s">
        <v>0</v>
      </c>
      <c r="B88" s="23" t="s">
        <v>152</v>
      </c>
      <c r="C88" s="22" t="s">
        <v>153</v>
      </c>
      <c r="D88" s="22" t="s">
        <v>154</v>
      </c>
      <c r="E88" s="23" t="s">
        <v>155</v>
      </c>
      <c r="F88" s="22" t="s">
        <v>156</v>
      </c>
      <c r="G88" s="23" t="s">
        <v>157</v>
      </c>
      <c r="H88" s="23" t="s">
        <v>158</v>
      </c>
    </row>
    <row r="89">
      <c r="A89" s="24">
        <v>20018.0</v>
      </c>
      <c r="B89" s="25">
        <v>1.0</v>
      </c>
      <c r="C89" s="25">
        <f>VLOOKUP(D89, '#조건테이블'!$E$8:$F$98, 2, FALSE)</f>
        <v>16</v>
      </c>
      <c r="D89" s="26" t="s">
        <v>175</v>
      </c>
      <c r="E89" s="25">
        <f>VLOOKUP(F89, '#조건테이블'!$A$8:$B$98, 2, FALSE)</f>
        <v>1</v>
      </c>
      <c r="F89" s="27" t="s">
        <v>160</v>
      </c>
      <c r="G89" s="24">
        <v>0.0</v>
      </c>
      <c r="H89" s="24">
        <v>45.0</v>
      </c>
      <c r="I89" s="16" t="s">
        <v>176</v>
      </c>
      <c r="J89" s="21" t="str">
        <f>""""&amp;B89&amp;""":{"""&amp;C$2&amp;""":"&amp;C89&amp;","""&amp;E$2&amp;""":"&amp;E89&amp;","""&amp;H$2&amp;""":"&amp;H89&amp;"}"</f>
        <v>"1":{"Key":16,"Con":1,"Val":45}</v>
      </c>
      <c r="K89" s="21" t="str">
        <f>"{"&amp;J89&amp;"}"</f>
        <v>{"1":{"Key":16,"Con":1,"Val":45}}</v>
      </c>
    </row>
    <row r="91">
      <c r="A91" s="21" t="str">
        <f>"# 장비 idx " &amp;A93&amp; VLOOKUP(A93,GearData!A$2:C$491,5,FALSE)</f>
        <v>#REF!</v>
      </c>
    </row>
    <row r="92">
      <c r="A92" s="22" t="s">
        <v>0</v>
      </c>
      <c r="B92" s="23" t="s">
        <v>152</v>
      </c>
      <c r="C92" s="22" t="s">
        <v>153</v>
      </c>
      <c r="D92" s="22" t="s">
        <v>154</v>
      </c>
      <c r="E92" s="23" t="s">
        <v>155</v>
      </c>
      <c r="F92" s="22" t="s">
        <v>156</v>
      </c>
      <c r="G92" s="23" t="s">
        <v>157</v>
      </c>
      <c r="H92" s="23" t="s">
        <v>158</v>
      </c>
    </row>
    <row r="93">
      <c r="A93" s="24">
        <v>20019.0</v>
      </c>
      <c r="B93" s="25">
        <v>1.0</v>
      </c>
      <c r="C93" s="25">
        <f>VLOOKUP(D93, '#조건테이블'!$E$8:$F$98, 2, FALSE)</f>
        <v>5</v>
      </c>
      <c r="D93" s="26" t="s">
        <v>177</v>
      </c>
      <c r="E93" s="25">
        <f>VLOOKUP(F93, '#조건테이블'!$A$8:$B$98, 2, FALSE)</f>
        <v>1</v>
      </c>
      <c r="F93" s="27" t="s">
        <v>160</v>
      </c>
      <c r="G93" s="24">
        <v>0.0</v>
      </c>
      <c r="H93" s="24">
        <v>3.0</v>
      </c>
      <c r="J93" s="21" t="str">
        <f t="shared" ref="J93:J95" si="10">""""&amp;B93&amp;""":{"""&amp;C$2&amp;""":"&amp;C93&amp;","""&amp;E$2&amp;""":"&amp;E93&amp;","""&amp;H$2&amp;""":"&amp;H93&amp;"}"</f>
        <v>"1":{"Key":5,"Con":1,"Val":3}</v>
      </c>
      <c r="K93" s="21" t="str">
        <f>"{"&amp;J93&amp;","&amp;J94&amp;","&amp;J95&amp;"}"</f>
        <v>{"1":{"Key":5,"Con":1,"Val":3},"2":{"Key":5,"Con":1,"Val":6},"3":{"Key":5,"Con":1,"Val":9}}</v>
      </c>
    </row>
    <row r="94">
      <c r="A94" s="25"/>
      <c r="B94" s="25">
        <v>2.0</v>
      </c>
      <c r="C94" s="25">
        <f>VLOOKUP(D94, '#조건테이블'!$E$8:$F$98, 2, FALSE)</f>
        <v>5</v>
      </c>
      <c r="D94" s="26" t="s">
        <v>177</v>
      </c>
      <c r="E94" s="25">
        <f>VLOOKUP(F94, '#조건테이블'!$A$8:$B$98, 2, FALSE)</f>
        <v>1</v>
      </c>
      <c r="F94" s="27" t="s">
        <v>160</v>
      </c>
      <c r="G94" s="24">
        <v>0.0</v>
      </c>
      <c r="H94" s="25">
        <v>6.0</v>
      </c>
      <c r="J94" s="21" t="str">
        <f t="shared" si="10"/>
        <v>"2":{"Key":5,"Con":1,"Val":6}</v>
      </c>
    </row>
    <row r="95">
      <c r="A95" s="25"/>
      <c r="B95" s="25">
        <v>3.0</v>
      </c>
      <c r="C95" s="25">
        <f>VLOOKUP(D95, '#조건테이블'!$E$8:$F$98, 2, FALSE)</f>
        <v>5</v>
      </c>
      <c r="D95" s="26" t="s">
        <v>177</v>
      </c>
      <c r="E95" s="25">
        <f>VLOOKUP(F95, '#조건테이블'!$A$8:$B$98, 2, FALSE)</f>
        <v>1</v>
      </c>
      <c r="F95" s="27" t="s">
        <v>160</v>
      </c>
      <c r="G95" s="24">
        <v>0.0</v>
      </c>
      <c r="H95" s="24">
        <v>9.0</v>
      </c>
      <c r="J95" s="21" t="str">
        <f t="shared" si="10"/>
        <v>"3":{"Key":5,"Con":1,"Val":9}</v>
      </c>
    </row>
    <row r="97">
      <c r="A97" s="21" t="str">
        <f>"# 장비 idx " &amp;A99&amp; VLOOKUP(A99,GearData!A$2:C$491,5,FALSE)</f>
        <v>#REF!</v>
      </c>
    </row>
    <row r="98">
      <c r="A98" s="22" t="s">
        <v>0</v>
      </c>
      <c r="B98" s="23" t="s">
        <v>152</v>
      </c>
      <c r="C98" s="22" t="s">
        <v>153</v>
      </c>
      <c r="D98" s="22" t="s">
        <v>154</v>
      </c>
      <c r="E98" s="23" t="s">
        <v>155</v>
      </c>
      <c r="F98" s="22" t="s">
        <v>156</v>
      </c>
      <c r="G98" s="23" t="s">
        <v>157</v>
      </c>
      <c r="H98" s="23" t="s">
        <v>158</v>
      </c>
    </row>
    <row r="99">
      <c r="A99" s="24">
        <v>20020.0</v>
      </c>
      <c r="B99" s="25">
        <v>1.0</v>
      </c>
      <c r="C99" s="25">
        <f>VLOOKUP(D99, '#조건테이블'!$E$8:$F$98, 2, FALSE)</f>
        <v>5</v>
      </c>
      <c r="D99" s="26" t="s">
        <v>177</v>
      </c>
      <c r="E99" s="25">
        <f>VLOOKUP(F99, '#조건테이블'!$A$8:$B$98, 2, FALSE)</f>
        <v>1</v>
      </c>
      <c r="F99" s="27" t="s">
        <v>160</v>
      </c>
      <c r="G99" s="24">
        <v>0.0</v>
      </c>
      <c r="H99" s="25">
        <v>5.0</v>
      </c>
      <c r="J99" s="21" t="str">
        <f t="shared" ref="J99:J101" si="11">""""&amp;B99&amp;""":{"""&amp;C$2&amp;""":"&amp;C99&amp;","""&amp;E$2&amp;""":"&amp;E99&amp;","""&amp;H$2&amp;""":"&amp;H99&amp;"}"</f>
        <v>"1":{"Key":5,"Con":1,"Val":5}</v>
      </c>
      <c r="K99" s="21" t="str">
        <f>"{"&amp;J99&amp;","&amp;J100&amp;","&amp;J101&amp;"}"</f>
        <v>{"1":{"Key":5,"Con":1,"Val":5},"2":{"Key":5,"Con":1,"Val":10},"3":{"Key":5,"Con":1,"Val":15}}</v>
      </c>
    </row>
    <row r="100">
      <c r="A100" s="25"/>
      <c r="B100" s="25">
        <v>2.0</v>
      </c>
      <c r="C100" s="25">
        <f>VLOOKUP(D100, '#조건테이블'!$E$8:$F$98, 2, FALSE)</f>
        <v>5</v>
      </c>
      <c r="D100" s="26" t="s">
        <v>177</v>
      </c>
      <c r="E100" s="25">
        <f>VLOOKUP(F100, '#조건테이블'!$A$8:$B$98, 2, FALSE)</f>
        <v>1</v>
      </c>
      <c r="F100" s="27" t="s">
        <v>160</v>
      </c>
      <c r="G100" s="24">
        <v>0.0</v>
      </c>
      <c r="H100" s="24">
        <v>10.0</v>
      </c>
      <c r="J100" s="21" t="str">
        <f t="shared" si="11"/>
        <v>"2":{"Key":5,"Con":1,"Val":10}</v>
      </c>
    </row>
    <row r="101">
      <c r="A101" s="25"/>
      <c r="B101" s="25">
        <v>3.0</v>
      </c>
      <c r="C101" s="25">
        <f>VLOOKUP(D101, '#조건테이블'!$E$8:$F$98, 2, FALSE)</f>
        <v>5</v>
      </c>
      <c r="D101" s="26" t="s">
        <v>177</v>
      </c>
      <c r="E101" s="25">
        <f>VLOOKUP(F101, '#조건테이블'!$A$8:$B$98, 2, FALSE)</f>
        <v>1</v>
      </c>
      <c r="F101" s="27" t="s">
        <v>160</v>
      </c>
      <c r="G101" s="24">
        <v>0.0</v>
      </c>
      <c r="H101" s="24">
        <v>15.0</v>
      </c>
      <c r="J101" s="21" t="str">
        <f t="shared" si="11"/>
        <v>"3":{"Key":5,"Con":1,"Val":15}</v>
      </c>
    </row>
    <row r="103">
      <c r="A103" s="21" t="str">
        <f>"# 장비 idx " &amp;A105&amp; VLOOKUP(A105,GearData!A$2:C$491,5,FALSE)</f>
        <v>#REF!</v>
      </c>
    </row>
    <row r="104">
      <c r="A104" s="22" t="s">
        <v>0</v>
      </c>
      <c r="B104" s="23" t="s">
        <v>152</v>
      </c>
      <c r="C104" s="22" t="s">
        <v>153</v>
      </c>
      <c r="D104" s="22" t="s">
        <v>154</v>
      </c>
      <c r="E104" s="23" t="s">
        <v>155</v>
      </c>
      <c r="F104" s="22" t="s">
        <v>156</v>
      </c>
      <c r="G104" s="23" t="s">
        <v>157</v>
      </c>
      <c r="H104" s="23" t="s">
        <v>158</v>
      </c>
    </row>
    <row r="105">
      <c r="A105" s="24">
        <v>20021.0</v>
      </c>
      <c r="B105" s="25">
        <v>1.0</v>
      </c>
      <c r="C105" s="25">
        <f>VLOOKUP(D105, '#조건테이블'!$E$8:$F$98, 2, FALSE)</f>
        <v>5</v>
      </c>
      <c r="D105" s="26" t="s">
        <v>177</v>
      </c>
      <c r="E105" s="25">
        <f>VLOOKUP(F105, '#조건테이블'!$A$8:$B$98, 2, FALSE)</f>
        <v>1</v>
      </c>
      <c r="F105" s="27" t="s">
        <v>160</v>
      </c>
      <c r="G105" s="24">
        <v>0.0</v>
      </c>
      <c r="H105" s="24">
        <v>10.0</v>
      </c>
      <c r="J105" s="21" t="str">
        <f t="shared" ref="J105:J107" si="12">""""&amp;B105&amp;""":{"""&amp;C$2&amp;""":"&amp;C105&amp;","""&amp;E$2&amp;""":"&amp;E105&amp;","""&amp;H$2&amp;""":"&amp;H105&amp;"}"</f>
        <v>"1":{"Key":5,"Con":1,"Val":10}</v>
      </c>
      <c r="K105" s="21" t="str">
        <f>"{"&amp;J105&amp;","&amp;J106&amp;","&amp;J107&amp;"}"</f>
        <v>{"1":{"Key":5,"Con":1,"Val":10},"2":{"Key":5,"Con":1,"Val":20},"3":{"Key":5,"Con":1,"Val":30}}</v>
      </c>
    </row>
    <row r="106">
      <c r="A106" s="25"/>
      <c r="B106" s="25">
        <v>2.0</v>
      </c>
      <c r="C106" s="25">
        <f>VLOOKUP(D106, '#조건테이블'!$E$8:$F$98, 2, FALSE)</f>
        <v>5</v>
      </c>
      <c r="D106" s="26" t="s">
        <v>177</v>
      </c>
      <c r="E106" s="25">
        <f>VLOOKUP(F106, '#조건테이블'!$A$8:$B$98, 2, FALSE)</f>
        <v>1</v>
      </c>
      <c r="F106" s="27" t="s">
        <v>160</v>
      </c>
      <c r="G106" s="24">
        <v>0.0</v>
      </c>
      <c r="H106" s="24">
        <v>20.0</v>
      </c>
      <c r="J106" s="21" t="str">
        <f t="shared" si="12"/>
        <v>"2":{"Key":5,"Con":1,"Val":20}</v>
      </c>
    </row>
    <row r="107">
      <c r="A107" s="25"/>
      <c r="B107" s="25">
        <v>3.0</v>
      </c>
      <c r="C107" s="25">
        <f>VLOOKUP(D107, '#조건테이블'!$E$8:$F$98, 2, FALSE)</f>
        <v>5</v>
      </c>
      <c r="D107" s="26" t="s">
        <v>177</v>
      </c>
      <c r="E107" s="25">
        <f>VLOOKUP(F107, '#조건테이블'!$A$8:$B$98, 2, FALSE)</f>
        <v>1</v>
      </c>
      <c r="F107" s="27" t="s">
        <v>160</v>
      </c>
      <c r="G107" s="24">
        <v>0.0</v>
      </c>
      <c r="H107" s="24">
        <v>30.0</v>
      </c>
      <c r="J107" s="21" t="str">
        <f t="shared" si="12"/>
        <v>"3":{"Key":5,"Con":1,"Val":30}</v>
      </c>
    </row>
    <row r="109">
      <c r="A109" s="21" t="str">
        <f>"# 장비 idx " &amp;A111&amp; VLOOKUP(A111,GearData!A$2:C$491,5,FALSE)</f>
        <v>#REF!</v>
      </c>
    </row>
    <row r="110">
      <c r="A110" s="22" t="s">
        <v>0</v>
      </c>
      <c r="B110" s="23" t="s">
        <v>152</v>
      </c>
      <c r="C110" s="22" t="s">
        <v>153</v>
      </c>
      <c r="D110" s="22" t="s">
        <v>154</v>
      </c>
      <c r="E110" s="23" t="s">
        <v>155</v>
      </c>
      <c r="F110" s="22" t="s">
        <v>156</v>
      </c>
      <c r="G110" s="23" t="s">
        <v>157</v>
      </c>
      <c r="H110" s="23" t="s">
        <v>158</v>
      </c>
    </row>
    <row r="111">
      <c r="A111" s="24">
        <v>20022.0</v>
      </c>
      <c r="B111" s="25">
        <v>1.0</v>
      </c>
      <c r="C111" s="25">
        <f>VLOOKUP(D111, '#조건테이블'!$E$8:$F$98, 2, FALSE)</f>
        <v>13</v>
      </c>
      <c r="D111" s="26" t="s">
        <v>164</v>
      </c>
      <c r="E111" s="24">
        <v>10214.0</v>
      </c>
      <c r="F111" s="27" t="s">
        <v>178</v>
      </c>
      <c r="G111" s="24">
        <v>0.0</v>
      </c>
      <c r="H111" s="24">
        <v>3.0</v>
      </c>
      <c r="I111" s="16" t="s">
        <v>166</v>
      </c>
      <c r="J111" s="21" t="str">
        <f>""""&amp;B111&amp;""":{"""&amp;C$2&amp;""":"&amp;C111&amp;","""&amp;E$2&amp;""":"&amp;E111&amp;","""&amp;H$2&amp;""":"&amp;H111&amp;"}"</f>
        <v>"1":{"Key":13,"Con":10214,"Val":3}</v>
      </c>
      <c r="K111" s="21" t="str">
        <f>"{"&amp;J111&amp;"}"</f>
        <v>{"1":{"Key":13,"Con":10214,"Val":3}}</v>
      </c>
    </row>
    <row r="113">
      <c r="A113" s="21" t="str">
        <f>"# 장비 idx " &amp;A115&amp; VLOOKUP(A115,GearData!A$2:C$491,5,FALSE)</f>
        <v>#REF!</v>
      </c>
    </row>
    <row r="114">
      <c r="A114" s="22" t="s">
        <v>0</v>
      </c>
      <c r="B114" s="23" t="s">
        <v>152</v>
      </c>
      <c r="C114" s="22" t="s">
        <v>153</v>
      </c>
      <c r="D114" s="22" t="s">
        <v>154</v>
      </c>
      <c r="E114" s="23" t="s">
        <v>155</v>
      </c>
      <c r="F114" s="22" t="s">
        <v>156</v>
      </c>
      <c r="G114" s="23" t="s">
        <v>157</v>
      </c>
      <c r="H114" s="23" t="s">
        <v>158</v>
      </c>
    </row>
    <row r="115">
      <c r="A115" s="24">
        <v>20023.0</v>
      </c>
      <c r="B115" s="25">
        <v>1.0</v>
      </c>
      <c r="C115" s="25">
        <f>VLOOKUP(D115, '#조건테이블'!$E$8:$F$98, 2, FALSE)</f>
        <v>13</v>
      </c>
      <c r="D115" s="26" t="s">
        <v>164</v>
      </c>
      <c r="E115" s="24">
        <v>10216.0</v>
      </c>
      <c r="F115" s="27" t="s">
        <v>179</v>
      </c>
      <c r="G115" s="24">
        <v>0.0</v>
      </c>
      <c r="H115" s="24">
        <v>3.0</v>
      </c>
      <c r="I115" s="16" t="s">
        <v>166</v>
      </c>
      <c r="J115" s="21" t="str">
        <f>""""&amp;B115&amp;""":{"""&amp;C$2&amp;""":"&amp;C115&amp;","""&amp;E$2&amp;""":"&amp;E115&amp;","""&amp;H$2&amp;""":"&amp;H115&amp;"}"</f>
        <v>"1":{"Key":13,"Con":10216,"Val":3}</v>
      </c>
      <c r="K115" s="21" t="str">
        <f>"{"&amp;J115&amp;"}"</f>
        <v>{"1":{"Key":13,"Con":10216,"Val":3}}</v>
      </c>
    </row>
    <row r="117">
      <c r="A117" s="21" t="str">
        <f>"# 장비 idx " &amp;A119&amp; VLOOKUP(A119,GearData!A$2:C$491,5,FALSE)</f>
        <v>#REF!</v>
      </c>
    </row>
    <row r="118">
      <c r="A118" s="22" t="s">
        <v>0</v>
      </c>
      <c r="B118" s="23" t="s">
        <v>152</v>
      </c>
      <c r="C118" s="22" t="s">
        <v>153</v>
      </c>
      <c r="D118" s="22" t="s">
        <v>154</v>
      </c>
      <c r="E118" s="23" t="s">
        <v>155</v>
      </c>
      <c r="F118" s="22" t="s">
        <v>156</v>
      </c>
      <c r="G118" s="23" t="s">
        <v>157</v>
      </c>
      <c r="H118" s="23" t="s">
        <v>158</v>
      </c>
    </row>
    <row r="119">
      <c r="A119" s="24">
        <v>20024.0</v>
      </c>
      <c r="B119" s="25">
        <v>1.0</v>
      </c>
      <c r="C119" s="25">
        <f>VLOOKUP(D119, '#조건테이블'!$E$8:$F$98, 2, FALSE)</f>
        <v>13</v>
      </c>
      <c r="D119" s="26" t="s">
        <v>164</v>
      </c>
      <c r="E119" s="24">
        <v>10212.0</v>
      </c>
      <c r="F119" s="27" t="s">
        <v>180</v>
      </c>
      <c r="G119" s="24">
        <v>0.0</v>
      </c>
      <c r="H119" s="24">
        <v>3.0</v>
      </c>
      <c r="I119" s="16" t="s">
        <v>166</v>
      </c>
      <c r="J119" s="21" t="str">
        <f>""""&amp;B119&amp;""":{"""&amp;C$2&amp;""":"&amp;C119&amp;","""&amp;E$2&amp;""":"&amp;E119&amp;","""&amp;H$2&amp;""":"&amp;H119&amp;"}"</f>
        <v>"1":{"Key":13,"Con":10212,"Val":3}</v>
      </c>
      <c r="K119" s="21" t="str">
        <f>"{"&amp;J119&amp;"}"</f>
        <v>{"1":{"Key":13,"Con":10212,"Val":3}}</v>
      </c>
    </row>
    <row r="121">
      <c r="A121" s="21" t="str">
        <f>"# 장비 idx " &amp;A123&amp; VLOOKUP(A123,GearData!A$2:C$491,5,FALSE)</f>
        <v>#REF!</v>
      </c>
    </row>
    <row r="122">
      <c r="A122" s="22" t="s">
        <v>0</v>
      </c>
      <c r="B122" s="23" t="s">
        <v>152</v>
      </c>
      <c r="C122" s="22" t="s">
        <v>153</v>
      </c>
      <c r="D122" s="22" t="s">
        <v>154</v>
      </c>
      <c r="E122" s="23" t="s">
        <v>155</v>
      </c>
      <c r="F122" s="22" t="s">
        <v>156</v>
      </c>
      <c r="G122" s="23" t="s">
        <v>157</v>
      </c>
      <c r="H122" s="23" t="s">
        <v>158</v>
      </c>
    </row>
    <row r="123">
      <c r="A123" s="24">
        <v>20025.0</v>
      </c>
      <c r="B123" s="25">
        <v>1.0</v>
      </c>
      <c r="C123" s="25">
        <f>VLOOKUP(D123, '#조건테이블'!$E$8:$F$98, 2, FALSE)</f>
        <v>2</v>
      </c>
      <c r="D123" s="26" t="s">
        <v>181</v>
      </c>
      <c r="E123" s="25">
        <f>VLOOKUP(F123, '#조건테이블'!$A$8:$B$98, 2, FALSE)</f>
        <v>1</v>
      </c>
      <c r="F123" s="27" t="s">
        <v>160</v>
      </c>
      <c r="G123" s="24">
        <v>0.0</v>
      </c>
      <c r="H123" s="24">
        <v>2.0</v>
      </c>
      <c r="J123" s="21" t="str">
        <f t="shared" ref="J123:J125" si="13">""""&amp;B123&amp;""":{"""&amp;C$2&amp;""":"&amp;C123&amp;","""&amp;E$2&amp;""":"&amp;E123&amp;","""&amp;H$2&amp;""":"&amp;H123&amp;"}"</f>
        <v>"1":{"Key":2,"Con":1,"Val":2}</v>
      </c>
      <c r="K123" s="21" t="str">
        <f>"{"&amp;J123&amp;","&amp;J124&amp;","&amp;J125&amp;"}"</f>
        <v>{"1":{"Key":2,"Con":1,"Val":2},"2":{"Key":2,"Con":1,"Val":4},"3":{"Key":2,"Con":1,"Val":7}}</v>
      </c>
    </row>
    <row r="124">
      <c r="A124" s="25"/>
      <c r="B124" s="25">
        <v>2.0</v>
      </c>
      <c r="C124" s="25">
        <f>VLOOKUP(D124, '#조건테이블'!$E$8:$F$98, 2, FALSE)</f>
        <v>2</v>
      </c>
      <c r="D124" s="26" t="s">
        <v>181</v>
      </c>
      <c r="E124" s="25">
        <f>VLOOKUP(F124, '#조건테이블'!$A$8:$B$98, 2, FALSE)</f>
        <v>1</v>
      </c>
      <c r="F124" s="27" t="s">
        <v>160</v>
      </c>
      <c r="G124" s="24">
        <v>0.0</v>
      </c>
      <c r="H124" s="24">
        <v>4.0</v>
      </c>
      <c r="J124" s="21" t="str">
        <f t="shared" si="13"/>
        <v>"2":{"Key":2,"Con":1,"Val":4}</v>
      </c>
    </row>
    <row r="125">
      <c r="A125" s="25"/>
      <c r="B125" s="25">
        <v>3.0</v>
      </c>
      <c r="C125" s="25">
        <f>VLOOKUP(D125, '#조건테이블'!$E$8:$F$98, 2, FALSE)</f>
        <v>2</v>
      </c>
      <c r="D125" s="26" t="s">
        <v>181</v>
      </c>
      <c r="E125" s="25">
        <f>VLOOKUP(F125, '#조건테이블'!$A$8:$B$98, 2, FALSE)</f>
        <v>1</v>
      </c>
      <c r="F125" s="27" t="s">
        <v>160</v>
      </c>
      <c r="G125" s="24">
        <v>0.0</v>
      </c>
      <c r="H125" s="24">
        <v>7.0</v>
      </c>
      <c r="J125" s="21" t="str">
        <f t="shared" si="13"/>
        <v>"3":{"Key":2,"Con":1,"Val":7}</v>
      </c>
    </row>
    <row r="127">
      <c r="A127" s="21" t="str">
        <f>"# 장비 idx " &amp;A129&amp; VLOOKUP(A129,GearData!A$2:C$491,5,FALSE)</f>
        <v>#REF!</v>
      </c>
    </row>
    <row r="128">
      <c r="A128" s="22" t="s">
        <v>0</v>
      </c>
      <c r="B128" s="23" t="s">
        <v>152</v>
      </c>
      <c r="C128" s="22" t="s">
        <v>153</v>
      </c>
      <c r="D128" s="22" t="s">
        <v>154</v>
      </c>
      <c r="E128" s="23" t="s">
        <v>155</v>
      </c>
      <c r="F128" s="22" t="s">
        <v>156</v>
      </c>
      <c r="G128" s="23" t="s">
        <v>157</v>
      </c>
      <c r="H128" s="23" t="s">
        <v>158</v>
      </c>
    </row>
    <row r="129">
      <c r="A129" s="24">
        <v>20026.0</v>
      </c>
      <c r="B129" s="25">
        <v>1.0</v>
      </c>
      <c r="C129" s="25">
        <f>VLOOKUP(D129, '#조건테이블'!$E$8:$F$98, 2, FALSE)</f>
        <v>2</v>
      </c>
      <c r="D129" s="26" t="s">
        <v>181</v>
      </c>
      <c r="E129" s="25">
        <f>VLOOKUP(F129, '#조건테이블'!$A$8:$B$98, 2, FALSE)</f>
        <v>1</v>
      </c>
      <c r="F129" s="27" t="s">
        <v>160</v>
      </c>
      <c r="G129" s="24">
        <v>0.0</v>
      </c>
      <c r="H129" s="24">
        <v>3.0</v>
      </c>
      <c r="J129" s="21" t="str">
        <f t="shared" ref="J129:J131" si="14">""""&amp;B129&amp;""":{"""&amp;C$2&amp;""":"&amp;C129&amp;","""&amp;E$2&amp;""":"&amp;E129&amp;","""&amp;H$2&amp;""":"&amp;H129&amp;"}"</f>
        <v>"1":{"Key":2,"Con":1,"Val":3}</v>
      </c>
      <c r="K129" s="21" t="str">
        <f>"{"&amp;J129&amp;","&amp;J130&amp;","&amp;J131&amp;"}"</f>
        <v>{"1":{"Key":2,"Con":1,"Val":3},"2":{"Key":2,"Con":1,"Val":6},"3":{"Key":2,"Con":1,"Val":10}}</v>
      </c>
    </row>
    <row r="130">
      <c r="A130" s="25"/>
      <c r="B130" s="25">
        <v>2.0</v>
      </c>
      <c r="C130" s="25">
        <f>VLOOKUP(D130, '#조건테이블'!$E$8:$F$98, 2, FALSE)</f>
        <v>2</v>
      </c>
      <c r="D130" s="26" t="s">
        <v>181</v>
      </c>
      <c r="E130" s="25">
        <f>VLOOKUP(F130, '#조건테이블'!$A$8:$B$98, 2, FALSE)</f>
        <v>1</v>
      </c>
      <c r="F130" s="27" t="s">
        <v>160</v>
      </c>
      <c r="G130" s="24">
        <v>0.0</v>
      </c>
      <c r="H130" s="24">
        <v>6.0</v>
      </c>
      <c r="J130" s="21" t="str">
        <f t="shared" si="14"/>
        <v>"2":{"Key":2,"Con":1,"Val":6}</v>
      </c>
    </row>
    <row r="131">
      <c r="A131" s="25"/>
      <c r="B131" s="25">
        <v>3.0</v>
      </c>
      <c r="C131" s="25">
        <f>VLOOKUP(D131, '#조건테이블'!$E$8:$F$98, 2, FALSE)</f>
        <v>2</v>
      </c>
      <c r="D131" s="26" t="s">
        <v>181</v>
      </c>
      <c r="E131" s="25">
        <f>VLOOKUP(F131, '#조건테이블'!$A$8:$B$98, 2, FALSE)</f>
        <v>1</v>
      </c>
      <c r="F131" s="27" t="s">
        <v>160</v>
      </c>
      <c r="G131" s="24">
        <v>0.0</v>
      </c>
      <c r="H131" s="24">
        <v>10.0</v>
      </c>
      <c r="J131" s="21" t="str">
        <f t="shared" si="14"/>
        <v>"3":{"Key":2,"Con":1,"Val":10}</v>
      </c>
    </row>
    <row r="133">
      <c r="A133" s="21" t="str">
        <f>"# 장비 idx " &amp;A135&amp; VLOOKUP(A135,GearData!A$2:C$491,5,FALSE)</f>
        <v>#REF!</v>
      </c>
    </row>
    <row r="134">
      <c r="A134" s="22" t="s">
        <v>0</v>
      </c>
      <c r="B134" s="23" t="s">
        <v>152</v>
      </c>
      <c r="C134" s="22" t="s">
        <v>153</v>
      </c>
      <c r="D134" s="22" t="s">
        <v>154</v>
      </c>
      <c r="E134" s="23" t="s">
        <v>155</v>
      </c>
      <c r="F134" s="22" t="s">
        <v>156</v>
      </c>
      <c r="G134" s="23" t="s">
        <v>157</v>
      </c>
      <c r="H134" s="23" t="s">
        <v>158</v>
      </c>
    </row>
    <row r="135">
      <c r="A135" s="24">
        <v>20027.0</v>
      </c>
      <c r="B135" s="25">
        <v>1.0</v>
      </c>
      <c r="C135" s="25">
        <f>VLOOKUP(D135, '#조건테이블'!$E$8:$F$98, 2, FALSE)</f>
        <v>2</v>
      </c>
      <c r="D135" s="26" t="s">
        <v>181</v>
      </c>
      <c r="E135" s="25">
        <f>VLOOKUP(F135, '#조건테이블'!$A$8:$B$98, 2, FALSE)</f>
        <v>1</v>
      </c>
      <c r="F135" s="27" t="s">
        <v>160</v>
      </c>
      <c r="G135" s="24">
        <v>0.0</v>
      </c>
      <c r="H135" s="24">
        <v>5.0</v>
      </c>
      <c r="J135" s="21" t="str">
        <f t="shared" ref="J135:J137" si="15">""""&amp;B135&amp;""":{"""&amp;C$2&amp;""":"&amp;C135&amp;","""&amp;E$2&amp;""":"&amp;E135&amp;","""&amp;H$2&amp;""":"&amp;H135&amp;"}"</f>
        <v>"1":{"Key":2,"Con":1,"Val":5}</v>
      </c>
      <c r="K135" s="21" t="str">
        <f>"{"&amp;J135&amp;","&amp;J136&amp;","&amp;J137&amp;"}"</f>
        <v>{"1":{"Key":2,"Con":1,"Val":5},"2":{"Key":2,"Con":1,"Val":10},"3":{"Key":2,"Con":1,"Val":15}}</v>
      </c>
    </row>
    <row r="136">
      <c r="A136" s="25"/>
      <c r="B136" s="25">
        <v>2.0</v>
      </c>
      <c r="C136" s="25">
        <f>VLOOKUP(D136, '#조건테이블'!$E$8:$F$98, 2, FALSE)</f>
        <v>2</v>
      </c>
      <c r="D136" s="26" t="s">
        <v>181</v>
      </c>
      <c r="E136" s="25">
        <f>VLOOKUP(F136, '#조건테이블'!$A$8:$B$98, 2, FALSE)</f>
        <v>1</v>
      </c>
      <c r="F136" s="27" t="s">
        <v>160</v>
      </c>
      <c r="G136" s="24">
        <v>0.0</v>
      </c>
      <c r="H136" s="24">
        <v>10.0</v>
      </c>
      <c r="J136" s="21" t="str">
        <f t="shared" si="15"/>
        <v>"2":{"Key":2,"Con":1,"Val":10}</v>
      </c>
    </row>
    <row r="137">
      <c r="A137" s="25"/>
      <c r="B137" s="25">
        <v>3.0</v>
      </c>
      <c r="C137" s="25">
        <f>VLOOKUP(D137, '#조건테이블'!$E$8:$F$98, 2, FALSE)</f>
        <v>2</v>
      </c>
      <c r="D137" s="26" t="s">
        <v>181</v>
      </c>
      <c r="E137" s="25">
        <f>VLOOKUP(F137, '#조건테이블'!$A$8:$B$98, 2, FALSE)</f>
        <v>1</v>
      </c>
      <c r="F137" s="27" t="s">
        <v>160</v>
      </c>
      <c r="G137" s="24">
        <v>0.0</v>
      </c>
      <c r="H137" s="24">
        <v>15.0</v>
      </c>
      <c r="J137" s="21" t="str">
        <f t="shared" si="15"/>
        <v>"3":{"Key":2,"Con":1,"Val":15}</v>
      </c>
    </row>
    <row r="139">
      <c r="A139" s="21" t="str">
        <f>"# 장비 idx " &amp;A141&amp; VLOOKUP(A141,GearData!A$2:C$491,5,FALSE)</f>
        <v>#REF!</v>
      </c>
    </row>
    <row r="140">
      <c r="A140" s="22" t="s">
        <v>0</v>
      </c>
      <c r="B140" s="23" t="s">
        <v>152</v>
      </c>
      <c r="C140" s="22" t="s">
        <v>153</v>
      </c>
      <c r="D140" s="22" t="s">
        <v>154</v>
      </c>
      <c r="E140" s="23" t="s">
        <v>155</v>
      </c>
      <c r="F140" s="22" t="s">
        <v>156</v>
      </c>
      <c r="G140" s="23" t="s">
        <v>157</v>
      </c>
      <c r="H140" s="23" t="s">
        <v>158</v>
      </c>
    </row>
    <row r="141">
      <c r="A141" s="24">
        <v>20028.0</v>
      </c>
      <c r="B141" s="25">
        <v>1.0</v>
      </c>
      <c r="C141" s="25">
        <f>VLOOKUP(D141, '#조건테이블'!$E$8:$F$98, 2, FALSE)</f>
        <v>13</v>
      </c>
      <c r="D141" s="26" t="s">
        <v>164</v>
      </c>
      <c r="E141" s="24">
        <v>10024.0</v>
      </c>
      <c r="F141" s="27" t="s">
        <v>182</v>
      </c>
      <c r="G141" s="24">
        <v>0.0</v>
      </c>
      <c r="H141" s="24">
        <v>3.0</v>
      </c>
      <c r="I141" s="16" t="s">
        <v>166</v>
      </c>
      <c r="J141" s="21" t="str">
        <f>""""&amp;B141&amp;""":{"""&amp;C$2&amp;""":"&amp;C141&amp;","""&amp;E$2&amp;""":"&amp;E141&amp;","""&amp;H$2&amp;""":"&amp;H141&amp;"}"</f>
        <v>"1":{"Key":13,"Con":10024,"Val":3}</v>
      </c>
      <c r="K141" s="21" t="str">
        <f>"{"&amp;J141&amp;"}"</f>
        <v>{"1":{"Key":13,"Con":10024,"Val":3}}</v>
      </c>
    </row>
    <row r="143">
      <c r="A143" s="21" t="str">
        <f>"# 장비 idx " &amp;A145&amp; VLOOKUP(A145,GearData!A$2:C$491,5,FALSE)</f>
        <v>#REF!</v>
      </c>
    </row>
    <row r="144">
      <c r="A144" s="22" t="s">
        <v>0</v>
      </c>
      <c r="B144" s="23" t="s">
        <v>152</v>
      </c>
      <c r="C144" s="22" t="s">
        <v>153</v>
      </c>
      <c r="D144" s="22" t="s">
        <v>154</v>
      </c>
      <c r="E144" s="23" t="s">
        <v>155</v>
      </c>
      <c r="F144" s="22" t="s">
        <v>156</v>
      </c>
      <c r="G144" s="23" t="s">
        <v>157</v>
      </c>
      <c r="H144" s="23" t="s">
        <v>158</v>
      </c>
    </row>
    <row r="145">
      <c r="A145" s="24">
        <v>20029.0</v>
      </c>
      <c r="B145" s="25">
        <v>1.0</v>
      </c>
      <c r="C145" s="25">
        <f>VLOOKUP(D145, '#조건테이블'!$E$8:$F$98, 2, FALSE)</f>
        <v>13</v>
      </c>
      <c r="D145" s="26" t="s">
        <v>164</v>
      </c>
      <c r="E145" s="24">
        <v>10025.0</v>
      </c>
      <c r="F145" s="27" t="s">
        <v>183</v>
      </c>
      <c r="G145" s="24">
        <v>0.0</v>
      </c>
      <c r="H145" s="24">
        <v>3.0</v>
      </c>
      <c r="I145" s="16" t="s">
        <v>166</v>
      </c>
      <c r="J145" s="21" t="str">
        <f>""""&amp;B145&amp;""":{"""&amp;C$2&amp;""":"&amp;C145&amp;","""&amp;E$2&amp;""":"&amp;E145&amp;","""&amp;H$2&amp;""":"&amp;H145&amp;"}"</f>
        <v>"1":{"Key":13,"Con":10025,"Val":3}</v>
      </c>
      <c r="K145" s="21" t="str">
        <f>"{"&amp;J145&amp;"}"</f>
        <v>{"1":{"Key":13,"Con":10025,"Val":3}}</v>
      </c>
    </row>
    <row r="147">
      <c r="A147" s="21" t="str">
        <f>"# 장비 idx " &amp;A149&amp; VLOOKUP(A149,GearData!A$2:C$491,5,FALSE)</f>
        <v>#REF!</v>
      </c>
    </row>
    <row r="148">
      <c r="A148" s="22" t="s">
        <v>0</v>
      </c>
      <c r="B148" s="23" t="s">
        <v>152</v>
      </c>
      <c r="C148" s="22" t="s">
        <v>153</v>
      </c>
      <c r="D148" s="22" t="s">
        <v>154</v>
      </c>
      <c r="E148" s="23" t="s">
        <v>155</v>
      </c>
      <c r="F148" s="22" t="s">
        <v>156</v>
      </c>
      <c r="G148" s="23" t="s">
        <v>157</v>
      </c>
      <c r="H148" s="23" t="s">
        <v>158</v>
      </c>
    </row>
    <row r="149">
      <c r="A149" s="24">
        <v>20030.0</v>
      </c>
      <c r="B149" s="25">
        <v>1.0</v>
      </c>
      <c r="C149" s="25">
        <f>VLOOKUP(D149, '#조건테이블'!$E$8:$F$98, 2, FALSE)</f>
        <v>13</v>
      </c>
      <c r="D149" s="26" t="s">
        <v>164</v>
      </c>
      <c r="E149" s="24">
        <v>10025.0</v>
      </c>
      <c r="F149" s="27" t="s">
        <v>176</v>
      </c>
      <c r="G149" s="24">
        <v>0.0</v>
      </c>
      <c r="H149" s="24">
        <v>3.0</v>
      </c>
      <c r="I149" s="16" t="s">
        <v>166</v>
      </c>
      <c r="J149" s="21" t="str">
        <f>""""&amp;B149&amp;""":{"""&amp;C$2&amp;""":"&amp;C149&amp;","""&amp;E$2&amp;""":"&amp;E149&amp;","""&amp;H$2&amp;""":"&amp;H149&amp;"}"</f>
        <v>"1":{"Key":13,"Con":10025,"Val":3}</v>
      </c>
      <c r="K149" s="21" t="str">
        <f>"{"&amp;J149&amp;"}"</f>
        <v>{"1":{"Key":13,"Con":10025,"Val":3}}</v>
      </c>
    </row>
    <row r="151">
      <c r="A151" s="21" t="str">
        <f>"# 장비 idx " &amp;A153&amp; VLOOKUP(A153,GearData!A$2:C$491,5,FALSE)</f>
        <v>#REF!</v>
      </c>
    </row>
    <row r="152">
      <c r="A152" s="22" t="s">
        <v>0</v>
      </c>
      <c r="B152" s="23" t="s">
        <v>152</v>
      </c>
      <c r="C152" s="22" t="s">
        <v>153</v>
      </c>
      <c r="D152" s="22" t="s">
        <v>154</v>
      </c>
      <c r="E152" s="23" t="s">
        <v>155</v>
      </c>
      <c r="F152" s="22" t="s">
        <v>156</v>
      </c>
      <c r="G152" s="23" t="s">
        <v>157</v>
      </c>
      <c r="H152" s="23" t="s">
        <v>158</v>
      </c>
    </row>
    <row r="153">
      <c r="A153" s="24">
        <v>20031.0</v>
      </c>
      <c r="B153" s="25">
        <v>1.0</v>
      </c>
      <c r="C153" s="25">
        <f>VLOOKUP(D153, '#조건테이블'!$E$8:$F$98, 2, FALSE)</f>
        <v>1</v>
      </c>
      <c r="D153" s="26" t="s">
        <v>184</v>
      </c>
      <c r="E153" s="25">
        <f>VLOOKUP(F153, '#조건테이블'!$A$8:$B$98, 2, FALSE)</f>
        <v>1</v>
      </c>
      <c r="F153" s="27" t="s">
        <v>160</v>
      </c>
      <c r="G153" s="24">
        <v>0.0</v>
      </c>
      <c r="H153" s="24">
        <v>2.0</v>
      </c>
      <c r="J153" s="21" t="str">
        <f t="shared" ref="J153:J155" si="16">""""&amp;B153&amp;""":{"""&amp;C$2&amp;""":"&amp;C153&amp;","""&amp;E$2&amp;""":"&amp;E153&amp;","""&amp;H$2&amp;""":"&amp;H153&amp;"}"</f>
        <v>"1":{"Key":1,"Con":1,"Val":2}</v>
      </c>
      <c r="K153" s="21" t="str">
        <f>"{"&amp;J153&amp;","&amp;J154&amp;","&amp;J155&amp;"}"</f>
        <v>{"1":{"Key":1,"Con":1,"Val":2},"2":{"Key":1,"Con":1,"Val":4},"3":{"Key":1,"Con":1,"Val":7}}</v>
      </c>
    </row>
    <row r="154">
      <c r="A154" s="25"/>
      <c r="B154" s="25">
        <v>2.0</v>
      </c>
      <c r="C154" s="25">
        <f>VLOOKUP(D154, '#조건테이블'!$E$8:$F$98, 2, FALSE)</f>
        <v>1</v>
      </c>
      <c r="D154" s="26" t="s">
        <v>184</v>
      </c>
      <c r="E154" s="25">
        <f>VLOOKUP(F154, '#조건테이블'!$A$8:$B$98, 2, FALSE)</f>
        <v>1</v>
      </c>
      <c r="F154" s="27" t="s">
        <v>160</v>
      </c>
      <c r="G154" s="24">
        <v>0.0</v>
      </c>
      <c r="H154" s="24">
        <v>4.0</v>
      </c>
      <c r="J154" s="21" t="str">
        <f t="shared" si="16"/>
        <v>"2":{"Key":1,"Con":1,"Val":4}</v>
      </c>
    </row>
    <row r="155">
      <c r="A155" s="25"/>
      <c r="B155" s="25">
        <v>3.0</v>
      </c>
      <c r="C155" s="25">
        <f>VLOOKUP(D155, '#조건테이블'!$E$8:$F$98, 2, FALSE)</f>
        <v>1</v>
      </c>
      <c r="D155" s="26" t="s">
        <v>184</v>
      </c>
      <c r="E155" s="25">
        <f>VLOOKUP(F155, '#조건테이블'!$A$8:$B$98, 2, FALSE)</f>
        <v>1</v>
      </c>
      <c r="F155" s="27" t="s">
        <v>160</v>
      </c>
      <c r="G155" s="24">
        <v>0.0</v>
      </c>
      <c r="H155" s="24">
        <v>7.0</v>
      </c>
      <c r="J155" s="21" t="str">
        <f t="shared" si="16"/>
        <v>"3":{"Key":1,"Con":1,"Val":7}</v>
      </c>
    </row>
    <row r="157">
      <c r="A157" s="21" t="str">
        <f>"# 장비 idx " &amp;A159&amp; VLOOKUP(A159,GearData!A$2:C$491,5,FALSE)</f>
        <v>#REF!</v>
      </c>
    </row>
    <row r="158">
      <c r="A158" s="22" t="s">
        <v>0</v>
      </c>
      <c r="B158" s="23" t="s">
        <v>152</v>
      </c>
      <c r="C158" s="22" t="s">
        <v>153</v>
      </c>
      <c r="D158" s="22" t="s">
        <v>154</v>
      </c>
      <c r="E158" s="23" t="s">
        <v>155</v>
      </c>
      <c r="F158" s="22" t="s">
        <v>156</v>
      </c>
      <c r="G158" s="23" t="s">
        <v>157</v>
      </c>
      <c r="H158" s="23" t="s">
        <v>158</v>
      </c>
    </row>
    <row r="159">
      <c r="A159" s="24">
        <v>20032.0</v>
      </c>
      <c r="B159" s="25">
        <v>1.0</v>
      </c>
      <c r="C159" s="25">
        <f>VLOOKUP(D159, '#조건테이블'!$E$8:$F$98, 2, FALSE)</f>
        <v>1</v>
      </c>
      <c r="D159" s="26" t="s">
        <v>184</v>
      </c>
      <c r="E159" s="25">
        <f>VLOOKUP(F159, '#조건테이블'!$A$8:$B$98, 2, FALSE)</f>
        <v>1</v>
      </c>
      <c r="F159" s="27" t="s">
        <v>160</v>
      </c>
      <c r="G159" s="24">
        <v>0.0</v>
      </c>
      <c r="H159" s="24">
        <v>3.0</v>
      </c>
      <c r="J159" s="21" t="str">
        <f t="shared" ref="J159:J161" si="17">""""&amp;B159&amp;""":{"""&amp;C$2&amp;""":"&amp;C159&amp;","""&amp;E$2&amp;""":"&amp;E159&amp;","""&amp;H$2&amp;""":"&amp;H159&amp;"}"</f>
        <v>"1":{"Key":1,"Con":1,"Val":3}</v>
      </c>
      <c r="K159" s="21" t="str">
        <f>"{"&amp;J159&amp;","&amp;J160&amp;","&amp;J161&amp;"}"</f>
        <v>{"1":{"Key":1,"Con":1,"Val":3},"2":{"Key":1,"Con":1,"Val":6},"3":{"Key":1,"Con":1,"Val":10}}</v>
      </c>
    </row>
    <row r="160">
      <c r="A160" s="25"/>
      <c r="B160" s="25">
        <v>2.0</v>
      </c>
      <c r="C160" s="25">
        <f>VLOOKUP(D160, '#조건테이블'!$E$8:$F$98, 2, FALSE)</f>
        <v>1</v>
      </c>
      <c r="D160" s="26" t="s">
        <v>184</v>
      </c>
      <c r="E160" s="25">
        <f>VLOOKUP(F160, '#조건테이블'!$A$8:$B$98, 2, FALSE)</f>
        <v>1</v>
      </c>
      <c r="F160" s="27" t="s">
        <v>160</v>
      </c>
      <c r="G160" s="24">
        <v>0.0</v>
      </c>
      <c r="H160" s="24">
        <v>6.0</v>
      </c>
      <c r="J160" s="21" t="str">
        <f t="shared" si="17"/>
        <v>"2":{"Key":1,"Con":1,"Val":6}</v>
      </c>
    </row>
    <row r="161">
      <c r="A161" s="25"/>
      <c r="B161" s="25">
        <v>3.0</v>
      </c>
      <c r="C161" s="25">
        <f>VLOOKUP(D161, '#조건테이블'!$E$8:$F$98, 2, FALSE)</f>
        <v>1</v>
      </c>
      <c r="D161" s="26" t="s">
        <v>184</v>
      </c>
      <c r="E161" s="25">
        <f>VLOOKUP(F161, '#조건테이블'!$A$8:$B$98, 2, FALSE)</f>
        <v>1</v>
      </c>
      <c r="F161" s="27" t="s">
        <v>160</v>
      </c>
      <c r="G161" s="24">
        <v>0.0</v>
      </c>
      <c r="H161" s="24">
        <v>10.0</v>
      </c>
      <c r="J161" s="21" t="str">
        <f t="shared" si="17"/>
        <v>"3":{"Key":1,"Con":1,"Val":10}</v>
      </c>
    </row>
    <row r="163">
      <c r="A163" s="21" t="str">
        <f>"# 장비 idx " &amp;A165&amp; VLOOKUP(A165,GearData!A$2:C$491,5,FALSE)</f>
        <v>#REF!</v>
      </c>
    </row>
    <row r="164">
      <c r="A164" s="22" t="s">
        <v>0</v>
      </c>
      <c r="B164" s="23" t="s">
        <v>152</v>
      </c>
      <c r="C164" s="22" t="s">
        <v>153</v>
      </c>
      <c r="D164" s="22" t="s">
        <v>154</v>
      </c>
      <c r="E164" s="23" t="s">
        <v>155</v>
      </c>
      <c r="F164" s="22" t="s">
        <v>156</v>
      </c>
      <c r="G164" s="23" t="s">
        <v>157</v>
      </c>
      <c r="H164" s="23" t="s">
        <v>158</v>
      </c>
    </row>
    <row r="165">
      <c r="A165" s="24">
        <v>20033.0</v>
      </c>
      <c r="B165" s="25">
        <v>1.0</v>
      </c>
      <c r="C165" s="25">
        <f>VLOOKUP(D165, '#조건테이블'!$E$8:$F$98, 2, FALSE)</f>
        <v>1</v>
      </c>
      <c r="D165" s="26" t="s">
        <v>184</v>
      </c>
      <c r="E165" s="25">
        <f>VLOOKUP(F165, '#조건테이블'!$A$8:$B$98, 2, FALSE)</f>
        <v>1</v>
      </c>
      <c r="F165" s="27" t="s">
        <v>160</v>
      </c>
      <c r="G165" s="24">
        <v>0.0</v>
      </c>
      <c r="H165" s="24">
        <v>5.0</v>
      </c>
      <c r="J165" s="21" t="str">
        <f t="shared" ref="J165:J167" si="18">""""&amp;B165&amp;""":{"""&amp;C$2&amp;""":"&amp;C165&amp;","""&amp;E$2&amp;""":"&amp;E165&amp;","""&amp;H$2&amp;""":"&amp;H165&amp;"}"</f>
        <v>"1":{"Key":1,"Con":1,"Val":5}</v>
      </c>
      <c r="K165" s="21" t="str">
        <f>"{"&amp;J165&amp;","&amp;J166&amp;","&amp;J167&amp;"}"</f>
        <v>{"1":{"Key":1,"Con":1,"Val":5},"2":{"Key":1,"Con":1,"Val":10},"3":{"Key":1,"Con":1,"Val":15}}</v>
      </c>
    </row>
    <row r="166">
      <c r="A166" s="25"/>
      <c r="B166" s="25">
        <v>2.0</v>
      </c>
      <c r="C166" s="25">
        <f>VLOOKUP(D166, '#조건테이블'!$E$8:$F$98, 2, FALSE)</f>
        <v>1</v>
      </c>
      <c r="D166" s="26" t="s">
        <v>184</v>
      </c>
      <c r="E166" s="25">
        <f>VLOOKUP(F166, '#조건테이블'!$A$8:$B$98, 2, FALSE)</f>
        <v>1</v>
      </c>
      <c r="F166" s="27" t="s">
        <v>160</v>
      </c>
      <c r="G166" s="24">
        <v>0.0</v>
      </c>
      <c r="H166" s="24">
        <v>10.0</v>
      </c>
      <c r="J166" s="21" t="str">
        <f t="shared" si="18"/>
        <v>"2":{"Key":1,"Con":1,"Val":10}</v>
      </c>
    </row>
    <row r="167">
      <c r="A167" s="25"/>
      <c r="B167" s="25">
        <v>3.0</v>
      </c>
      <c r="C167" s="25">
        <f>VLOOKUP(D167, '#조건테이블'!$E$8:$F$98, 2, FALSE)</f>
        <v>1</v>
      </c>
      <c r="D167" s="26" t="s">
        <v>184</v>
      </c>
      <c r="E167" s="25">
        <f>VLOOKUP(F167, '#조건테이블'!$A$8:$B$98, 2, FALSE)</f>
        <v>1</v>
      </c>
      <c r="F167" s="27" t="s">
        <v>160</v>
      </c>
      <c r="G167" s="24">
        <v>0.0</v>
      </c>
      <c r="H167" s="24">
        <v>15.0</v>
      </c>
      <c r="J167" s="21" t="str">
        <f t="shared" si="18"/>
        <v>"3":{"Key":1,"Con":1,"Val":15}</v>
      </c>
    </row>
    <row r="169">
      <c r="A169" s="21" t="str">
        <f>"# 장비 idx " &amp;A171&amp; VLOOKUP(A171,GearData!A$2:C$491,5,FALSE)</f>
        <v>#REF!</v>
      </c>
    </row>
    <row r="170">
      <c r="A170" s="22" t="s">
        <v>0</v>
      </c>
      <c r="B170" s="23" t="s">
        <v>152</v>
      </c>
      <c r="C170" s="22" t="s">
        <v>153</v>
      </c>
      <c r="D170" s="22" t="s">
        <v>154</v>
      </c>
      <c r="E170" s="23" t="s">
        <v>155</v>
      </c>
      <c r="F170" s="22" t="s">
        <v>156</v>
      </c>
      <c r="G170" s="23" t="s">
        <v>157</v>
      </c>
      <c r="H170" s="23" t="s">
        <v>158</v>
      </c>
    </row>
    <row r="171">
      <c r="A171" s="24">
        <v>20034.0</v>
      </c>
      <c r="B171" s="25">
        <v>1.0</v>
      </c>
      <c r="C171" s="25">
        <f>VLOOKUP(D171, '#조건테이블'!$E$8:$F$98, 2, FALSE)</f>
        <v>13</v>
      </c>
      <c r="D171" s="26" t="s">
        <v>164</v>
      </c>
      <c r="E171" s="24">
        <v>10019.0</v>
      </c>
      <c r="F171" s="27" t="s">
        <v>185</v>
      </c>
      <c r="G171" s="24">
        <v>0.0</v>
      </c>
      <c r="H171" s="24">
        <v>3.0</v>
      </c>
      <c r="I171" s="16" t="s">
        <v>166</v>
      </c>
      <c r="J171" s="21" t="str">
        <f>""""&amp;B171&amp;""":{"""&amp;C$2&amp;""":"&amp;C171&amp;","""&amp;E$2&amp;""":"&amp;E171&amp;","""&amp;H$2&amp;""":"&amp;H171&amp;"}"</f>
        <v>"1":{"Key":13,"Con":10019,"Val":3}</v>
      </c>
      <c r="K171" s="21" t="str">
        <f>"{"&amp;J171&amp;"}"</f>
        <v>{"1":{"Key":13,"Con":10019,"Val":3}}</v>
      </c>
    </row>
    <row r="173">
      <c r="A173" s="21" t="str">
        <f>"# 장비 idx " &amp;A175&amp; VLOOKUP(A175,GearData!A$2:C$491,5,FALSE)</f>
        <v>#REF!</v>
      </c>
    </row>
    <row r="174">
      <c r="A174" s="22" t="s">
        <v>0</v>
      </c>
      <c r="B174" s="23" t="s">
        <v>152</v>
      </c>
      <c r="C174" s="22" t="s">
        <v>153</v>
      </c>
      <c r="D174" s="22" t="s">
        <v>154</v>
      </c>
      <c r="E174" s="23" t="s">
        <v>155</v>
      </c>
      <c r="F174" s="22" t="s">
        <v>156</v>
      </c>
      <c r="G174" s="23" t="s">
        <v>157</v>
      </c>
      <c r="H174" s="23" t="s">
        <v>158</v>
      </c>
    </row>
    <row r="175">
      <c r="A175" s="24">
        <v>20035.0</v>
      </c>
      <c r="B175" s="25">
        <v>1.0</v>
      </c>
      <c r="C175" s="25">
        <f>VLOOKUP(D175, '#조건테이블'!$E$8:$F$98, 2, FALSE)</f>
        <v>13</v>
      </c>
      <c r="D175" s="26" t="s">
        <v>164</v>
      </c>
      <c r="E175" s="24">
        <v>10020.0</v>
      </c>
      <c r="F175" s="27" t="s">
        <v>186</v>
      </c>
      <c r="G175" s="24">
        <v>0.0</v>
      </c>
      <c r="H175" s="24">
        <v>3.0</v>
      </c>
      <c r="I175" s="16" t="s">
        <v>166</v>
      </c>
      <c r="J175" s="21" t="str">
        <f>""""&amp;B175&amp;""":{"""&amp;C$2&amp;""":"&amp;C175&amp;","""&amp;E$2&amp;""":"&amp;E175&amp;","""&amp;H$2&amp;""":"&amp;H175&amp;"}"</f>
        <v>"1":{"Key":13,"Con":10020,"Val":3}</v>
      </c>
      <c r="K175" s="21" t="str">
        <f>"{"&amp;J175&amp;"}"</f>
        <v>{"1":{"Key":13,"Con":10020,"Val":3}}</v>
      </c>
    </row>
    <row r="177">
      <c r="A177" s="21" t="str">
        <f>"# 장비 idx " &amp;A179&amp; VLOOKUP(A179,GearData!A$2:C$491,5,FALSE)</f>
        <v>#REF!</v>
      </c>
    </row>
    <row r="178">
      <c r="A178" s="22" t="s">
        <v>0</v>
      </c>
      <c r="B178" s="23" t="s">
        <v>152</v>
      </c>
      <c r="C178" s="22" t="s">
        <v>153</v>
      </c>
      <c r="D178" s="22" t="s">
        <v>154</v>
      </c>
      <c r="E178" s="23" t="s">
        <v>155</v>
      </c>
      <c r="F178" s="22" t="s">
        <v>156</v>
      </c>
      <c r="G178" s="23" t="s">
        <v>157</v>
      </c>
      <c r="H178" s="23" t="s">
        <v>158</v>
      </c>
    </row>
    <row r="179">
      <c r="A179" s="24">
        <v>20036.0</v>
      </c>
      <c r="B179" s="25">
        <v>1.0</v>
      </c>
      <c r="C179" s="25">
        <f>VLOOKUP(D179, '#조건테이블'!$E$8:$F$98, 2, FALSE)</f>
        <v>13</v>
      </c>
      <c r="D179" s="26" t="s">
        <v>164</v>
      </c>
      <c r="E179" s="24">
        <v>10020.0</v>
      </c>
      <c r="F179" s="27" t="s">
        <v>176</v>
      </c>
      <c r="G179" s="24">
        <v>0.0</v>
      </c>
      <c r="H179" s="24">
        <v>3.0</v>
      </c>
      <c r="I179" s="16" t="s">
        <v>166</v>
      </c>
      <c r="J179" s="21" t="str">
        <f>""""&amp;B179&amp;""":{"""&amp;C$2&amp;""":"&amp;C179&amp;","""&amp;E$2&amp;""":"&amp;E179&amp;","""&amp;H$2&amp;""":"&amp;H179&amp;"}"</f>
        <v>"1":{"Key":13,"Con":10020,"Val":3}</v>
      </c>
      <c r="K179" s="21" t="str">
        <f>"{"&amp;J179&amp;"}"</f>
        <v>{"1":{"Key":13,"Con":10020,"Val":3}}</v>
      </c>
    </row>
    <row r="181">
      <c r="A181" s="21" t="str">
        <f>"# 장비 idx " &amp;A183&amp; VLOOKUP(A183,GearData!A$2:C$491,5,FALSE)</f>
        <v>#REF!</v>
      </c>
    </row>
    <row r="182">
      <c r="A182" s="22" t="s">
        <v>0</v>
      </c>
      <c r="B182" s="23" t="s">
        <v>152</v>
      </c>
      <c r="C182" s="22" t="s">
        <v>153</v>
      </c>
      <c r="D182" s="22" t="s">
        <v>154</v>
      </c>
      <c r="E182" s="23" t="s">
        <v>155</v>
      </c>
      <c r="F182" s="22" t="s">
        <v>156</v>
      </c>
      <c r="G182" s="23" t="s">
        <v>157</v>
      </c>
      <c r="H182" s="23" t="s">
        <v>158</v>
      </c>
    </row>
    <row r="183">
      <c r="A183" s="24">
        <v>20039.0</v>
      </c>
      <c r="B183" s="25">
        <v>1.0</v>
      </c>
      <c r="C183" s="25">
        <f>VLOOKUP(D183, '#조건테이블'!$E$8:$F$98, 2, FALSE)</f>
        <v>1</v>
      </c>
      <c r="D183" s="26" t="s">
        <v>184</v>
      </c>
      <c r="E183" s="25">
        <f>VLOOKUP(F183, '#조건테이블'!$A$8:$B$98, 2, FALSE)</f>
        <v>1</v>
      </c>
      <c r="F183" s="27" t="s">
        <v>160</v>
      </c>
      <c r="G183" s="24">
        <v>0.0</v>
      </c>
      <c r="H183" s="24">
        <v>3.0</v>
      </c>
      <c r="J183" s="21" t="str">
        <f t="shared" ref="J183:J188" si="19">""""&amp;B183&amp;""":{"""&amp;C$2&amp;""":"&amp;C183&amp;","""&amp;E$2&amp;""":"&amp;E183&amp;","""&amp;H$2&amp;""":"&amp;H183&amp;"}"</f>
        <v>"1":{"Key":1,"Con":1,"Val":3}</v>
      </c>
      <c r="K183" s="21" t="str">
        <f>"{"&amp;J183&amp;","&amp;J184&amp;","&amp;J185&amp;"}"</f>
        <v>{"1":{"Key":1,"Con":1,"Val":3},"2":{"Key":1,"Con":1,"Val":6},"3":{"Key":1,"Con":1,"Val":10}}</v>
      </c>
    </row>
    <row r="184">
      <c r="A184" s="25"/>
      <c r="B184" s="25">
        <v>2.0</v>
      </c>
      <c r="C184" s="25">
        <f>VLOOKUP(D184, '#조건테이블'!$E$8:$F$98, 2, FALSE)</f>
        <v>1</v>
      </c>
      <c r="D184" s="26" t="s">
        <v>184</v>
      </c>
      <c r="E184" s="25">
        <f>VLOOKUP(F184, '#조건테이블'!$A$8:$B$98, 2, FALSE)</f>
        <v>1</v>
      </c>
      <c r="F184" s="27" t="s">
        <v>160</v>
      </c>
      <c r="G184" s="24">
        <v>0.0</v>
      </c>
      <c r="H184" s="24">
        <v>6.0</v>
      </c>
      <c r="J184" s="21" t="str">
        <f t="shared" si="19"/>
        <v>"2":{"Key":1,"Con":1,"Val":6}</v>
      </c>
    </row>
    <row r="185">
      <c r="A185" s="25"/>
      <c r="B185" s="25">
        <v>3.0</v>
      </c>
      <c r="C185" s="25">
        <f>VLOOKUP(D185, '#조건테이블'!$E$8:$F$98, 2, FALSE)</f>
        <v>1</v>
      </c>
      <c r="D185" s="26" t="s">
        <v>184</v>
      </c>
      <c r="E185" s="25">
        <f>VLOOKUP(F185, '#조건테이블'!$A$8:$B$98, 2, FALSE)</f>
        <v>1</v>
      </c>
      <c r="F185" s="27" t="s">
        <v>160</v>
      </c>
      <c r="G185" s="24">
        <v>0.0</v>
      </c>
      <c r="H185" s="24">
        <v>10.0</v>
      </c>
      <c r="J185" s="21" t="str">
        <f t="shared" si="19"/>
        <v>"3":{"Key":1,"Con":1,"Val":10}</v>
      </c>
    </row>
    <row r="186">
      <c r="A186" s="24">
        <f>A183+10000</f>
        <v>30039</v>
      </c>
      <c r="B186" s="25">
        <v>1.0</v>
      </c>
      <c r="C186" s="25">
        <f>VLOOKUP(D186, '#조건테이블'!$E$8:$F$98, 2, FALSE)</f>
        <v>8</v>
      </c>
      <c r="D186" s="26" t="s">
        <v>187</v>
      </c>
      <c r="E186" s="25">
        <f>VLOOKUP(F186, '#조건테이블'!$A$8:$B$98, 2, FALSE)</f>
        <v>1</v>
      </c>
      <c r="F186" s="27" t="s">
        <v>160</v>
      </c>
      <c r="G186" s="24">
        <v>0.0</v>
      </c>
      <c r="H186" s="24">
        <v>20000.0</v>
      </c>
      <c r="J186" s="21" t="str">
        <f t="shared" si="19"/>
        <v>"1":{"Key":8,"Con":1,"Val":20000}</v>
      </c>
      <c r="K186" s="21" t="str">
        <f>"{"&amp;J186&amp;","&amp;J187&amp;","&amp;J188&amp;"}"</f>
        <v>{"1":{"Key":8,"Con":1,"Val":20000},"2":{"Key":8,"Con":1,"Val":30000},"3":{"Key":8,"Con":1,"Val":50000}}</v>
      </c>
    </row>
    <row r="187">
      <c r="A187" s="25"/>
      <c r="B187" s="25">
        <v>2.0</v>
      </c>
      <c r="C187" s="25">
        <f>VLOOKUP(D187, '#조건테이블'!$E$8:$F$98, 2, FALSE)</f>
        <v>8</v>
      </c>
      <c r="D187" s="26" t="s">
        <v>187</v>
      </c>
      <c r="E187" s="25">
        <f>VLOOKUP(F187, '#조건테이블'!$A$8:$B$98, 2, FALSE)</f>
        <v>1</v>
      </c>
      <c r="F187" s="27" t="s">
        <v>160</v>
      </c>
      <c r="G187" s="24">
        <v>0.0</v>
      </c>
      <c r="H187" s="24">
        <v>30000.0</v>
      </c>
      <c r="J187" s="21" t="str">
        <f t="shared" si="19"/>
        <v>"2":{"Key":8,"Con":1,"Val":30000}</v>
      </c>
    </row>
    <row r="188">
      <c r="A188" s="25"/>
      <c r="B188" s="25">
        <v>3.0</v>
      </c>
      <c r="C188" s="25">
        <f>VLOOKUP(D188, '#조건테이블'!$E$8:$F$98, 2, FALSE)</f>
        <v>8</v>
      </c>
      <c r="D188" s="26" t="s">
        <v>187</v>
      </c>
      <c r="E188" s="25">
        <f>VLOOKUP(F188, '#조건테이블'!$A$8:$B$98, 2, FALSE)</f>
        <v>1</v>
      </c>
      <c r="F188" s="27" t="s">
        <v>160</v>
      </c>
      <c r="G188" s="24">
        <v>0.0</v>
      </c>
      <c r="H188" s="24">
        <v>50000.0</v>
      </c>
      <c r="J188" s="21" t="str">
        <f t="shared" si="19"/>
        <v>"3":{"Key":8,"Con":1,"Val":50000}</v>
      </c>
    </row>
    <row r="190">
      <c r="A190" s="21" t="str">
        <f>"# 장비 idx " &amp;A192&amp; VLOOKUP(A192,GearData!A$2:C$491,5,FALSE)</f>
        <v>#REF!</v>
      </c>
    </row>
    <row r="191">
      <c r="A191" s="22" t="s">
        <v>0</v>
      </c>
      <c r="B191" s="23" t="s">
        <v>152</v>
      </c>
      <c r="C191" s="22" t="s">
        <v>153</v>
      </c>
      <c r="D191" s="22" t="s">
        <v>154</v>
      </c>
      <c r="E191" s="23" t="s">
        <v>155</v>
      </c>
      <c r="F191" s="22" t="s">
        <v>156</v>
      </c>
      <c r="G191" s="23" t="s">
        <v>157</v>
      </c>
      <c r="H191" s="23" t="s">
        <v>158</v>
      </c>
    </row>
    <row r="192">
      <c r="A192" s="24">
        <v>20040.0</v>
      </c>
      <c r="B192" s="25">
        <v>1.0</v>
      </c>
      <c r="C192" s="25">
        <f>VLOOKUP(D192, '#조건테이블'!$E$8:$F$98, 2, FALSE)</f>
        <v>2</v>
      </c>
      <c r="D192" s="26" t="s">
        <v>181</v>
      </c>
      <c r="E192" s="25">
        <f>VLOOKUP(F192, '#조건테이블'!$A$8:$B$98, 2, FALSE)</f>
        <v>1</v>
      </c>
      <c r="F192" s="27" t="s">
        <v>160</v>
      </c>
      <c r="G192" s="24">
        <v>0.0</v>
      </c>
      <c r="H192" s="24">
        <v>3.0</v>
      </c>
      <c r="J192" s="21" t="str">
        <f t="shared" ref="J192:J197" si="20">""""&amp;B192&amp;""":{"""&amp;C$2&amp;""":"&amp;C192&amp;","""&amp;E$2&amp;""":"&amp;E192&amp;","""&amp;H$2&amp;""":"&amp;H192&amp;"}"</f>
        <v>"1":{"Key":2,"Con":1,"Val":3}</v>
      </c>
      <c r="K192" s="21" t="str">
        <f>"{"&amp;J192&amp;","&amp;J193&amp;","&amp;J194&amp;"}"</f>
        <v>{"1":{"Key":2,"Con":1,"Val":3},"2":{"Key":2,"Con":1,"Val":6},"3":{"Key":2,"Con":1,"Val":10}}</v>
      </c>
    </row>
    <row r="193">
      <c r="A193" s="25"/>
      <c r="B193" s="25">
        <v>2.0</v>
      </c>
      <c r="C193" s="25">
        <f>VLOOKUP(D193, '#조건테이블'!$E$8:$F$98, 2, FALSE)</f>
        <v>2</v>
      </c>
      <c r="D193" s="26" t="s">
        <v>181</v>
      </c>
      <c r="E193" s="25">
        <f>VLOOKUP(F193, '#조건테이블'!$A$8:$B$98, 2, FALSE)</f>
        <v>1</v>
      </c>
      <c r="F193" s="27" t="s">
        <v>160</v>
      </c>
      <c r="G193" s="24">
        <v>0.0</v>
      </c>
      <c r="H193" s="24">
        <v>6.0</v>
      </c>
      <c r="J193" s="21" t="str">
        <f t="shared" si="20"/>
        <v>"2":{"Key":2,"Con":1,"Val":6}</v>
      </c>
    </row>
    <row r="194">
      <c r="A194" s="25"/>
      <c r="B194" s="25">
        <v>3.0</v>
      </c>
      <c r="C194" s="25">
        <f>VLOOKUP(D194, '#조건테이블'!$E$8:$F$98, 2, FALSE)</f>
        <v>2</v>
      </c>
      <c r="D194" s="26" t="s">
        <v>181</v>
      </c>
      <c r="E194" s="25">
        <f>VLOOKUP(F194, '#조건테이블'!$A$8:$B$98, 2, FALSE)</f>
        <v>1</v>
      </c>
      <c r="F194" s="27" t="s">
        <v>160</v>
      </c>
      <c r="G194" s="24">
        <v>0.0</v>
      </c>
      <c r="H194" s="24">
        <v>10.0</v>
      </c>
      <c r="J194" s="21" t="str">
        <f t="shared" si="20"/>
        <v>"3":{"Key":2,"Con":1,"Val":10}</v>
      </c>
    </row>
    <row r="195">
      <c r="A195" s="24">
        <f>A192+10000</f>
        <v>30040</v>
      </c>
      <c r="B195" s="25">
        <v>1.0</v>
      </c>
      <c r="C195" s="25">
        <f>VLOOKUP(D195, '#조건테이블'!$E$8:$F$98, 2, FALSE)</f>
        <v>3</v>
      </c>
      <c r="D195" s="26" t="s">
        <v>172</v>
      </c>
      <c r="E195" s="25">
        <f>VLOOKUP(F195, '#조건테이블'!$A$8:$B$98, 2, FALSE)</f>
        <v>1</v>
      </c>
      <c r="F195" s="27" t="s">
        <v>160</v>
      </c>
      <c r="G195" s="24">
        <v>0.0</v>
      </c>
      <c r="H195" s="24">
        <v>3.0</v>
      </c>
      <c r="J195" s="21" t="str">
        <f t="shared" si="20"/>
        <v>"1":{"Key":3,"Con":1,"Val":3}</v>
      </c>
      <c r="K195" s="21" t="str">
        <f>"{"&amp;J195&amp;","&amp;J196&amp;","&amp;J197&amp;"}"</f>
        <v>{"1":{"Key":3,"Con":1,"Val":3},"2":{"Key":3,"Con":1,"Val":6},"3":{"Key":3,"Con":1,"Val":10}}</v>
      </c>
    </row>
    <row r="196">
      <c r="A196" s="25"/>
      <c r="B196" s="25">
        <v>2.0</v>
      </c>
      <c r="C196" s="25">
        <f>VLOOKUP(D196, '#조건테이블'!$E$8:$F$98, 2, FALSE)</f>
        <v>3</v>
      </c>
      <c r="D196" s="26" t="s">
        <v>172</v>
      </c>
      <c r="E196" s="25">
        <f>VLOOKUP(F196, '#조건테이블'!$A$8:$B$98, 2, FALSE)</f>
        <v>1</v>
      </c>
      <c r="F196" s="27" t="s">
        <v>160</v>
      </c>
      <c r="G196" s="24">
        <v>0.0</v>
      </c>
      <c r="H196" s="24">
        <v>6.0</v>
      </c>
      <c r="J196" s="21" t="str">
        <f t="shared" si="20"/>
        <v>"2":{"Key":3,"Con":1,"Val":6}</v>
      </c>
    </row>
    <row r="197">
      <c r="A197" s="25"/>
      <c r="B197" s="25">
        <v>3.0</v>
      </c>
      <c r="C197" s="25">
        <f>VLOOKUP(D197, '#조건테이블'!$E$8:$F$98, 2, FALSE)</f>
        <v>3</v>
      </c>
      <c r="D197" s="26" t="s">
        <v>172</v>
      </c>
      <c r="E197" s="25">
        <f>VLOOKUP(F197, '#조건테이블'!$A$8:$B$98, 2, FALSE)</f>
        <v>1</v>
      </c>
      <c r="F197" s="27" t="s">
        <v>160</v>
      </c>
      <c r="G197" s="24">
        <v>0.0</v>
      </c>
      <c r="H197" s="24">
        <v>10.0</v>
      </c>
      <c r="J197" s="21" t="str">
        <f t="shared" si="20"/>
        <v>"3":{"Key":3,"Con":1,"Val":10}</v>
      </c>
    </row>
    <row r="199">
      <c r="A199" s="21" t="str">
        <f>"# 장비 idx " &amp;A201&amp; VLOOKUP(A201,GearData!A$2:C$491,5,FALSE)</f>
        <v>#REF!</v>
      </c>
    </row>
    <row r="200">
      <c r="A200" s="22" t="s">
        <v>0</v>
      </c>
      <c r="B200" s="23" t="s">
        <v>152</v>
      </c>
      <c r="C200" s="22" t="s">
        <v>153</v>
      </c>
      <c r="D200" s="22" t="s">
        <v>154</v>
      </c>
      <c r="E200" s="23" t="s">
        <v>155</v>
      </c>
      <c r="F200" s="22" t="s">
        <v>156</v>
      </c>
      <c r="G200" s="23" t="s">
        <v>157</v>
      </c>
      <c r="H200" s="23" t="s">
        <v>158</v>
      </c>
    </row>
    <row r="201">
      <c r="A201" s="24">
        <v>20041.0</v>
      </c>
      <c r="B201" s="25">
        <v>1.0</v>
      </c>
      <c r="C201" s="25">
        <f>VLOOKUP(D201, '#조건테이블'!$E$8:$F$98, 2, FALSE)</f>
        <v>4</v>
      </c>
      <c r="D201" s="26" t="s">
        <v>159</v>
      </c>
      <c r="E201" s="25">
        <f>VLOOKUP(F201, '#조건테이블'!$A$8:$B$98, 2, FALSE)</f>
        <v>1</v>
      </c>
      <c r="F201" s="27" t="s">
        <v>160</v>
      </c>
      <c r="G201" s="24">
        <v>0.0</v>
      </c>
      <c r="H201" s="24">
        <v>5.0</v>
      </c>
      <c r="J201" s="21" t="str">
        <f t="shared" ref="J201:J206" si="21">""""&amp;B201&amp;""":{"""&amp;C$2&amp;""":"&amp;C201&amp;","""&amp;E$2&amp;""":"&amp;E201&amp;","""&amp;H$2&amp;""":"&amp;H201&amp;"}"</f>
        <v>"1":{"Key":4,"Con":1,"Val":5}</v>
      </c>
      <c r="K201" s="21" t="str">
        <f>"{"&amp;J201&amp;","&amp;J202&amp;","&amp;J203&amp;"}"</f>
        <v>{"1":{"Key":4,"Con":1,"Val":5},"2":{"Key":4,"Con":1,"Val":10},"3":{"Key":4,"Con":1,"Val":15}}</v>
      </c>
    </row>
    <row r="202">
      <c r="A202" s="25"/>
      <c r="B202" s="25">
        <v>2.0</v>
      </c>
      <c r="C202" s="25">
        <f>VLOOKUP(D202, '#조건테이블'!$E$8:$F$98, 2, FALSE)</f>
        <v>4</v>
      </c>
      <c r="D202" s="26" t="s">
        <v>159</v>
      </c>
      <c r="E202" s="25">
        <f>VLOOKUP(F202, '#조건테이블'!$A$8:$B$98, 2, FALSE)</f>
        <v>1</v>
      </c>
      <c r="F202" s="27" t="s">
        <v>160</v>
      </c>
      <c r="G202" s="24">
        <v>0.0</v>
      </c>
      <c r="H202" s="24">
        <v>10.0</v>
      </c>
      <c r="J202" s="21" t="str">
        <f t="shared" si="21"/>
        <v>"2":{"Key":4,"Con":1,"Val":10}</v>
      </c>
    </row>
    <row r="203">
      <c r="A203" s="25"/>
      <c r="B203" s="25">
        <v>3.0</v>
      </c>
      <c r="C203" s="25">
        <f>VLOOKUP(D203, '#조건테이블'!$E$8:$F$98, 2, FALSE)</f>
        <v>4</v>
      </c>
      <c r="D203" s="26" t="s">
        <v>159</v>
      </c>
      <c r="E203" s="25">
        <f>VLOOKUP(F203, '#조건테이블'!$A$8:$B$98, 2, FALSE)</f>
        <v>1</v>
      </c>
      <c r="F203" s="27" t="s">
        <v>160</v>
      </c>
      <c r="G203" s="24">
        <v>0.0</v>
      </c>
      <c r="H203" s="24">
        <v>15.0</v>
      </c>
      <c r="J203" s="21" t="str">
        <f t="shared" si="21"/>
        <v>"3":{"Key":4,"Con":1,"Val":15}</v>
      </c>
    </row>
    <row r="204">
      <c r="A204" s="24">
        <f>A201+10000</f>
        <v>30041</v>
      </c>
      <c r="B204" s="25">
        <v>1.0</v>
      </c>
      <c r="C204" s="25">
        <f>VLOOKUP(D204, '#조건테이블'!$E$8:$F$98, 2, FALSE)</f>
        <v>5</v>
      </c>
      <c r="D204" s="26" t="s">
        <v>177</v>
      </c>
      <c r="E204" s="25">
        <f>VLOOKUP(F204, '#조건테이블'!$A$8:$B$98, 2, FALSE)</f>
        <v>1</v>
      </c>
      <c r="F204" s="27" t="s">
        <v>160</v>
      </c>
      <c r="G204" s="24">
        <v>0.0</v>
      </c>
      <c r="H204" s="24">
        <v>5.0</v>
      </c>
      <c r="J204" s="21" t="str">
        <f t="shared" si="21"/>
        <v>"1":{"Key":5,"Con":1,"Val":5}</v>
      </c>
      <c r="K204" s="21" t="str">
        <f>"{"&amp;J204&amp;","&amp;J205&amp;","&amp;J206&amp;"}"</f>
        <v>{"1":{"Key":5,"Con":1,"Val":5},"2":{"Key":5,"Con":1,"Val":10},"3":{"Key":5,"Con":1,"Val":15}}</v>
      </c>
    </row>
    <row r="205">
      <c r="A205" s="25"/>
      <c r="B205" s="25">
        <v>2.0</v>
      </c>
      <c r="C205" s="25">
        <f>VLOOKUP(D205, '#조건테이블'!$E$8:$F$98, 2, FALSE)</f>
        <v>5</v>
      </c>
      <c r="D205" s="26" t="s">
        <v>177</v>
      </c>
      <c r="E205" s="25">
        <f>VLOOKUP(F205, '#조건테이블'!$A$8:$B$98, 2, FALSE)</f>
        <v>1</v>
      </c>
      <c r="F205" s="27" t="s">
        <v>160</v>
      </c>
      <c r="G205" s="24">
        <v>0.0</v>
      </c>
      <c r="H205" s="24">
        <v>10.0</v>
      </c>
      <c r="J205" s="21" t="str">
        <f t="shared" si="21"/>
        <v>"2":{"Key":5,"Con":1,"Val":10}</v>
      </c>
    </row>
    <row r="206">
      <c r="A206" s="25"/>
      <c r="B206" s="25">
        <v>3.0</v>
      </c>
      <c r="C206" s="25">
        <f>VLOOKUP(D206, '#조건테이블'!$E$8:$F$98, 2, FALSE)</f>
        <v>5</v>
      </c>
      <c r="D206" s="26" t="s">
        <v>177</v>
      </c>
      <c r="E206" s="25">
        <f>VLOOKUP(F206, '#조건테이블'!$A$8:$B$98, 2, FALSE)</f>
        <v>1</v>
      </c>
      <c r="F206" s="27" t="s">
        <v>160</v>
      </c>
      <c r="G206" s="24">
        <v>0.0</v>
      </c>
      <c r="H206" s="24">
        <v>15.0</v>
      </c>
      <c r="J206" s="21" t="str">
        <f t="shared" si="21"/>
        <v>"3":{"Key":5,"Con":1,"Val":15}</v>
      </c>
    </row>
    <row r="208">
      <c r="A208" s="21" t="str">
        <f>"# 장비 idx " &amp;A210&amp; VLOOKUP(A210,GearData!A$2:C$491,5,FALSE)</f>
        <v>#REF!</v>
      </c>
    </row>
    <row r="209">
      <c r="A209" s="22" t="s">
        <v>0</v>
      </c>
      <c r="B209" s="23" t="s">
        <v>152</v>
      </c>
      <c r="C209" s="22" t="s">
        <v>153</v>
      </c>
      <c r="D209" s="22" t="s">
        <v>154</v>
      </c>
      <c r="E209" s="23" t="s">
        <v>155</v>
      </c>
      <c r="F209" s="22" t="s">
        <v>156</v>
      </c>
      <c r="G209" s="23" t="s">
        <v>157</v>
      </c>
      <c r="H209" s="23" t="s">
        <v>158</v>
      </c>
    </row>
    <row r="210">
      <c r="A210" s="24">
        <v>20042.0</v>
      </c>
      <c r="B210" s="25">
        <v>1.0</v>
      </c>
      <c r="C210" s="25">
        <f>VLOOKUP(D210, '#조건테이블'!$E$8:$F$98, 2, FALSE)</f>
        <v>1</v>
      </c>
      <c r="D210" s="26" t="s">
        <v>184</v>
      </c>
      <c r="E210" s="25">
        <f>VLOOKUP(F210, '#조건테이블'!$A$8:$B$98, 2, FALSE)</f>
        <v>1</v>
      </c>
      <c r="F210" s="27" t="s">
        <v>160</v>
      </c>
      <c r="G210" s="24">
        <v>0.0</v>
      </c>
      <c r="H210" s="24">
        <v>3.0</v>
      </c>
      <c r="J210" s="21" t="str">
        <f t="shared" ref="J210:J215" si="22">""""&amp;B210&amp;""":{"""&amp;C$2&amp;""":"&amp;C210&amp;","""&amp;E$2&amp;""":"&amp;E210&amp;","""&amp;H$2&amp;""":"&amp;H210&amp;"}"</f>
        <v>"1":{"Key":1,"Con":1,"Val":3}</v>
      </c>
      <c r="K210" s="21" t="str">
        <f>"{"&amp;J210&amp;","&amp;J211&amp;","&amp;J212&amp;"}"</f>
        <v>{"1":{"Key":1,"Con":1,"Val":3},"2":{"Key":1,"Con":1,"Val":6},"3":{"Key":1,"Con":1,"Val":10}}</v>
      </c>
    </row>
    <row r="211">
      <c r="A211" s="25"/>
      <c r="B211" s="25">
        <v>2.0</v>
      </c>
      <c r="C211" s="25">
        <f>VLOOKUP(D211, '#조건테이블'!$E$8:$F$98, 2, FALSE)</f>
        <v>1</v>
      </c>
      <c r="D211" s="26" t="s">
        <v>184</v>
      </c>
      <c r="E211" s="25">
        <f>VLOOKUP(F211, '#조건테이블'!$A$8:$B$98, 2, FALSE)</f>
        <v>1</v>
      </c>
      <c r="F211" s="27" t="s">
        <v>160</v>
      </c>
      <c r="G211" s="24">
        <v>0.0</v>
      </c>
      <c r="H211" s="24">
        <v>6.0</v>
      </c>
      <c r="J211" s="21" t="str">
        <f t="shared" si="22"/>
        <v>"2":{"Key":1,"Con":1,"Val":6}</v>
      </c>
    </row>
    <row r="212">
      <c r="A212" s="25"/>
      <c r="B212" s="25">
        <v>3.0</v>
      </c>
      <c r="C212" s="25">
        <f>VLOOKUP(D212, '#조건테이블'!$E$8:$F$98, 2, FALSE)</f>
        <v>1</v>
      </c>
      <c r="D212" s="26" t="s">
        <v>184</v>
      </c>
      <c r="E212" s="25">
        <f>VLOOKUP(F212, '#조건테이블'!$A$8:$B$98, 2, FALSE)</f>
        <v>1</v>
      </c>
      <c r="F212" s="27" t="s">
        <v>160</v>
      </c>
      <c r="G212" s="24">
        <v>0.0</v>
      </c>
      <c r="H212" s="24">
        <v>10.0</v>
      </c>
      <c r="J212" s="21" t="str">
        <f t="shared" si="22"/>
        <v>"3":{"Key":1,"Con":1,"Val":10}</v>
      </c>
    </row>
    <row r="213">
      <c r="A213" s="24">
        <f>A210+10000</f>
        <v>30042</v>
      </c>
      <c r="B213" s="25">
        <v>1.0</v>
      </c>
      <c r="C213" s="25">
        <f>VLOOKUP(D213, '#조건테이블'!$E$8:$F$98, 2, FALSE)</f>
        <v>6</v>
      </c>
      <c r="D213" s="26" t="s">
        <v>168</v>
      </c>
      <c r="E213" s="25">
        <f>VLOOKUP(F213, '#조건테이블'!$A$8:$B$98, 2, FALSE)</f>
        <v>1</v>
      </c>
      <c r="F213" s="27" t="s">
        <v>160</v>
      </c>
      <c r="G213" s="24">
        <v>0.0</v>
      </c>
      <c r="H213" s="24">
        <v>5.0</v>
      </c>
      <c r="J213" s="21" t="str">
        <f t="shared" si="22"/>
        <v>"1":{"Key":6,"Con":1,"Val":5}</v>
      </c>
      <c r="K213" s="21" t="str">
        <f>"{"&amp;J213&amp;","&amp;J214&amp;","&amp;J215&amp;"}"</f>
        <v>{"1":{"Key":6,"Con":1,"Val":5},"2":{"Key":6,"Con":1,"Val":10},"3":{"Key":6,"Con":1,"Val":15}}</v>
      </c>
    </row>
    <row r="214">
      <c r="A214" s="25"/>
      <c r="B214" s="25">
        <v>2.0</v>
      </c>
      <c r="C214" s="25">
        <f>VLOOKUP(D214, '#조건테이블'!$E$8:$F$98, 2, FALSE)</f>
        <v>6</v>
      </c>
      <c r="D214" s="26" t="s">
        <v>168</v>
      </c>
      <c r="E214" s="25">
        <f>VLOOKUP(F214, '#조건테이블'!$A$8:$B$98, 2, FALSE)</f>
        <v>1</v>
      </c>
      <c r="F214" s="27" t="s">
        <v>160</v>
      </c>
      <c r="G214" s="24">
        <v>0.0</v>
      </c>
      <c r="H214" s="24">
        <v>10.0</v>
      </c>
      <c r="J214" s="21" t="str">
        <f t="shared" si="22"/>
        <v>"2":{"Key":6,"Con":1,"Val":10}</v>
      </c>
    </row>
    <row r="215">
      <c r="A215" s="25"/>
      <c r="B215" s="25">
        <v>3.0</v>
      </c>
      <c r="C215" s="25">
        <f>VLOOKUP(D215, '#조건테이블'!$E$8:$F$98, 2, FALSE)</f>
        <v>6</v>
      </c>
      <c r="D215" s="26" t="s">
        <v>168</v>
      </c>
      <c r="E215" s="25">
        <f>VLOOKUP(F215, '#조건테이블'!$A$8:$B$98, 2, FALSE)</f>
        <v>1</v>
      </c>
      <c r="F215" s="27" t="s">
        <v>160</v>
      </c>
      <c r="G215" s="24">
        <v>0.0</v>
      </c>
      <c r="H215" s="24">
        <v>15.0</v>
      </c>
      <c r="J215" s="21" t="str">
        <f t="shared" si="22"/>
        <v>"3":{"Key":6,"Con":1,"Val":15}</v>
      </c>
    </row>
    <row r="217">
      <c r="A217" s="21" t="str">
        <f>"# 장비 idx " &amp;A219&amp; VLOOKUP(A219,GearData!A$2:C$491,5,FALSE)</f>
        <v>#REF!</v>
      </c>
    </row>
    <row r="218">
      <c r="A218" s="22" t="s">
        <v>0</v>
      </c>
      <c r="B218" s="23" t="s">
        <v>152</v>
      </c>
      <c r="C218" s="22" t="s">
        <v>153</v>
      </c>
      <c r="D218" s="22" t="s">
        <v>154</v>
      </c>
      <c r="E218" s="23" t="s">
        <v>155</v>
      </c>
      <c r="F218" s="22" t="s">
        <v>156</v>
      </c>
      <c r="G218" s="23" t="s">
        <v>157</v>
      </c>
      <c r="H218" s="23" t="s">
        <v>158</v>
      </c>
    </row>
    <row r="219">
      <c r="A219" s="24">
        <v>20043.0</v>
      </c>
      <c r="B219" s="25">
        <v>1.0</v>
      </c>
      <c r="C219" s="25">
        <f>VLOOKUP(D219, '#조건테이블'!$E$8:$F$98, 2, FALSE)</f>
        <v>1</v>
      </c>
      <c r="D219" s="26" t="s">
        <v>184</v>
      </c>
      <c r="E219" s="25">
        <f>VLOOKUP(F219, '#조건테이블'!$A$8:$B$98, 2, FALSE)</f>
        <v>1</v>
      </c>
      <c r="F219" s="27" t="s">
        <v>160</v>
      </c>
      <c r="G219" s="24">
        <v>0.0</v>
      </c>
      <c r="H219" s="24">
        <v>5.0</v>
      </c>
      <c r="J219" s="21" t="str">
        <f t="shared" ref="J219:J224" si="23">""""&amp;B219&amp;""":{"""&amp;C$2&amp;""":"&amp;C219&amp;","""&amp;E$2&amp;""":"&amp;E219&amp;","""&amp;H$2&amp;""":"&amp;H219&amp;"}"</f>
        <v>"1":{"Key":1,"Con":1,"Val":5}</v>
      </c>
      <c r="K219" s="21" t="str">
        <f>"{"&amp;J219&amp;","&amp;J220&amp;","&amp;J221&amp;"}"</f>
        <v>{"1":{"Key":1,"Con":1,"Val":5},"2":{"Key":1,"Con":1,"Val":10},"3":{"Key":1,"Con":1,"Val":15}}</v>
      </c>
    </row>
    <row r="220">
      <c r="A220" s="25"/>
      <c r="B220" s="25">
        <v>2.0</v>
      </c>
      <c r="C220" s="25">
        <f>VLOOKUP(D220, '#조건테이블'!$E$8:$F$98, 2, FALSE)</f>
        <v>1</v>
      </c>
      <c r="D220" s="26" t="s">
        <v>184</v>
      </c>
      <c r="E220" s="25">
        <f>VLOOKUP(F220, '#조건테이블'!$A$8:$B$98, 2, FALSE)</f>
        <v>1</v>
      </c>
      <c r="F220" s="27" t="s">
        <v>160</v>
      </c>
      <c r="G220" s="24">
        <v>0.0</v>
      </c>
      <c r="H220" s="24">
        <v>10.0</v>
      </c>
      <c r="J220" s="21" t="str">
        <f t="shared" si="23"/>
        <v>"2":{"Key":1,"Con":1,"Val":10}</v>
      </c>
    </row>
    <row r="221">
      <c r="A221" s="25"/>
      <c r="B221" s="25">
        <v>3.0</v>
      </c>
      <c r="C221" s="25">
        <f>VLOOKUP(D221, '#조건테이블'!$E$8:$F$98, 2, FALSE)</f>
        <v>1</v>
      </c>
      <c r="D221" s="26" t="s">
        <v>184</v>
      </c>
      <c r="E221" s="25">
        <f>VLOOKUP(F221, '#조건테이블'!$A$8:$B$98, 2, FALSE)</f>
        <v>1</v>
      </c>
      <c r="F221" s="27" t="s">
        <v>160</v>
      </c>
      <c r="G221" s="24">
        <v>0.0</v>
      </c>
      <c r="H221" s="24">
        <v>15.0</v>
      </c>
      <c r="J221" s="21" t="str">
        <f t="shared" si="23"/>
        <v>"3":{"Key":1,"Con":1,"Val":15}</v>
      </c>
    </row>
    <row r="222">
      <c r="A222" s="24">
        <f>A219+10000</f>
        <v>30043</v>
      </c>
      <c r="B222" s="25">
        <v>1.0</v>
      </c>
      <c r="C222" s="25">
        <f>VLOOKUP(D222, '#조건테이블'!$E$8:$F$98, 2, FALSE)</f>
        <v>8</v>
      </c>
      <c r="D222" s="26" t="s">
        <v>187</v>
      </c>
      <c r="E222" s="25">
        <f>VLOOKUP(F222, '#조건테이블'!$A$8:$B$98, 2, FALSE)</f>
        <v>1</v>
      </c>
      <c r="F222" s="27" t="s">
        <v>160</v>
      </c>
      <c r="G222" s="24">
        <v>0.0</v>
      </c>
      <c r="H222" s="24">
        <v>30000.0</v>
      </c>
      <c r="J222" s="21" t="str">
        <f t="shared" si="23"/>
        <v>"1":{"Key":8,"Con":1,"Val":30000}</v>
      </c>
      <c r="K222" s="21" t="str">
        <f>"{"&amp;J222&amp;","&amp;J223&amp;","&amp;J224&amp;"}"</f>
        <v>{"1":{"Key":8,"Con":1,"Val":30000},"2":{"Key":8,"Con":1,"Val":45000},"3":{"Key":8,"Con":1,"Val":70000}}</v>
      </c>
    </row>
    <row r="223">
      <c r="A223" s="25"/>
      <c r="B223" s="25">
        <v>2.0</v>
      </c>
      <c r="C223" s="25">
        <f>VLOOKUP(D223, '#조건테이블'!$E$8:$F$98, 2, FALSE)</f>
        <v>8</v>
      </c>
      <c r="D223" s="26" t="s">
        <v>187</v>
      </c>
      <c r="E223" s="25">
        <f>VLOOKUP(F223, '#조건테이블'!$A$8:$B$98, 2, FALSE)</f>
        <v>1</v>
      </c>
      <c r="F223" s="27" t="s">
        <v>160</v>
      </c>
      <c r="G223" s="24">
        <v>0.0</v>
      </c>
      <c r="H223" s="24">
        <v>45000.0</v>
      </c>
      <c r="J223" s="21" t="str">
        <f t="shared" si="23"/>
        <v>"2":{"Key":8,"Con":1,"Val":45000}</v>
      </c>
    </row>
    <row r="224">
      <c r="A224" s="25"/>
      <c r="B224" s="25">
        <v>3.0</v>
      </c>
      <c r="C224" s="25">
        <f>VLOOKUP(D224, '#조건테이블'!$E$8:$F$98, 2, FALSE)</f>
        <v>8</v>
      </c>
      <c r="D224" s="26" t="s">
        <v>187</v>
      </c>
      <c r="E224" s="25">
        <f>VLOOKUP(F224, '#조건테이블'!$A$8:$B$98, 2, FALSE)</f>
        <v>1</v>
      </c>
      <c r="F224" s="27" t="s">
        <v>160</v>
      </c>
      <c r="G224" s="24">
        <v>0.0</v>
      </c>
      <c r="H224" s="24">
        <v>70000.0</v>
      </c>
      <c r="J224" s="21" t="str">
        <f t="shared" si="23"/>
        <v>"3":{"Key":8,"Con":1,"Val":70000}</v>
      </c>
    </row>
    <row r="226">
      <c r="A226" s="21" t="str">
        <f>"# 장비 idx " &amp;A228&amp; VLOOKUP(A228,GearData!A$2:C$491,5,FALSE)</f>
        <v>#REF!</v>
      </c>
    </row>
    <row r="227">
      <c r="A227" s="22" t="s">
        <v>0</v>
      </c>
      <c r="B227" s="23" t="s">
        <v>152</v>
      </c>
      <c r="C227" s="22" t="s">
        <v>153</v>
      </c>
      <c r="D227" s="22" t="s">
        <v>154</v>
      </c>
      <c r="E227" s="23" t="s">
        <v>155</v>
      </c>
      <c r="F227" s="22" t="s">
        <v>156</v>
      </c>
      <c r="G227" s="23" t="s">
        <v>157</v>
      </c>
      <c r="H227" s="23" t="s">
        <v>158</v>
      </c>
    </row>
    <row r="228">
      <c r="A228" s="24">
        <v>20044.0</v>
      </c>
      <c r="B228" s="25">
        <v>1.0</v>
      </c>
      <c r="C228" s="25">
        <f>VLOOKUP(D228, '#조건테이블'!$E$8:$F$98, 2, FALSE)</f>
        <v>2</v>
      </c>
      <c r="D228" s="26" t="s">
        <v>181</v>
      </c>
      <c r="E228" s="25">
        <f>VLOOKUP(F228, '#조건테이블'!$A$8:$B$98, 2, FALSE)</f>
        <v>1</v>
      </c>
      <c r="F228" s="27" t="s">
        <v>160</v>
      </c>
      <c r="G228" s="24">
        <v>0.0</v>
      </c>
      <c r="H228" s="24">
        <v>5.0</v>
      </c>
      <c r="J228" s="21" t="str">
        <f t="shared" ref="J228:J233" si="24">""""&amp;B228&amp;""":{"""&amp;C$2&amp;""":"&amp;C228&amp;","""&amp;E$2&amp;""":"&amp;E228&amp;","""&amp;H$2&amp;""":"&amp;H228&amp;"}"</f>
        <v>"1":{"Key":2,"Con":1,"Val":5}</v>
      </c>
      <c r="K228" s="21" t="str">
        <f>"{"&amp;J228&amp;","&amp;J229&amp;","&amp;J230&amp;"}"</f>
        <v>{"1":{"Key":2,"Con":1,"Val":5},"2":{"Key":2,"Con":1,"Val":10},"3":{"Key":2,"Con":1,"Val":15}}</v>
      </c>
    </row>
    <row r="229">
      <c r="A229" s="25"/>
      <c r="B229" s="25">
        <v>2.0</v>
      </c>
      <c r="C229" s="25">
        <f>VLOOKUP(D229, '#조건테이블'!$E$8:$F$98, 2, FALSE)</f>
        <v>2</v>
      </c>
      <c r="D229" s="26" t="s">
        <v>181</v>
      </c>
      <c r="E229" s="25">
        <f>VLOOKUP(F229, '#조건테이블'!$A$8:$B$98, 2, FALSE)</f>
        <v>1</v>
      </c>
      <c r="F229" s="27" t="s">
        <v>160</v>
      </c>
      <c r="G229" s="24">
        <v>0.0</v>
      </c>
      <c r="H229" s="24">
        <v>10.0</v>
      </c>
      <c r="J229" s="21" t="str">
        <f t="shared" si="24"/>
        <v>"2":{"Key":2,"Con":1,"Val":10}</v>
      </c>
    </row>
    <row r="230">
      <c r="A230" s="25"/>
      <c r="B230" s="25">
        <v>3.0</v>
      </c>
      <c r="C230" s="25">
        <f>VLOOKUP(D230, '#조건테이블'!$E$8:$F$98, 2, FALSE)</f>
        <v>2</v>
      </c>
      <c r="D230" s="26" t="s">
        <v>181</v>
      </c>
      <c r="E230" s="25">
        <f>VLOOKUP(F230, '#조건테이블'!$A$8:$B$98, 2, FALSE)</f>
        <v>1</v>
      </c>
      <c r="F230" s="27" t="s">
        <v>160</v>
      </c>
      <c r="G230" s="24">
        <v>0.0</v>
      </c>
      <c r="H230" s="24">
        <v>15.0</v>
      </c>
      <c r="J230" s="21" t="str">
        <f t="shared" si="24"/>
        <v>"3":{"Key":2,"Con":1,"Val":15}</v>
      </c>
    </row>
    <row r="231">
      <c r="A231" s="24">
        <f>A228+10000</f>
        <v>30044</v>
      </c>
      <c r="B231" s="25">
        <v>1.0</v>
      </c>
      <c r="C231" s="25">
        <f>VLOOKUP(D231, '#조건테이블'!$E$8:$F$98, 2, FALSE)</f>
        <v>3</v>
      </c>
      <c r="D231" s="26" t="s">
        <v>172</v>
      </c>
      <c r="E231" s="25">
        <f>VLOOKUP(F231, '#조건테이블'!$A$8:$B$98, 2, FALSE)</f>
        <v>1</v>
      </c>
      <c r="F231" s="27" t="s">
        <v>160</v>
      </c>
      <c r="G231" s="24">
        <v>0.0</v>
      </c>
      <c r="H231" s="24">
        <v>5.0</v>
      </c>
      <c r="J231" s="21" t="str">
        <f t="shared" si="24"/>
        <v>"1":{"Key":3,"Con":1,"Val":5}</v>
      </c>
      <c r="K231" s="21" t="str">
        <f>"{"&amp;J231&amp;","&amp;J232&amp;","&amp;J233&amp;"}"</f>
        <v>{"1":{"Key":3,"Con":1,"Val":5},"2":{"Key":3,"Con":1,"Val":10},"3":{"Key":3,"Con":1,"Val":15}}</v>
      </c>
    </row>
    <row r="232">
      <c r="A232" s="25"/>
      <c r="B232" s="25">
        <v>2.0</v>
      </c>
      <c r="C232" s="25">
        <f>VLOOKUP(D232, '#조건테이블'!$E$8:$F$98, 2, FALSE)</f>
        <v>3</v>
      </c>
      <c r="D232" s="26" t="s">
        <v>172</v>
      </c>
      <c r="E232" s="25">
        <f>VLOOKUP(F232, '#조건테이블'!$A$8:$B$98, 2, FALSE)</f>
        <v>1</v>
      </c>
      <c r="F232" s="27" t="s">
        <v>160</v>
      </c>
      <c r="G232" s="24">
        <v>0.0</v>
      </c>
      <c r="H232" s="24">
        <v>10.0</v>
      </c>
      <c r="J232" s="21" t="str">
        <f t="shared" si="24"/>
        <v>"2":{"Key":3,"Con":1,"Val":10}</v>
      </c>
    </row>
    <row r="233">
      <c r="A233" s="25"/>
      <c r="B233" s="25">
        <v>3.0</v>
      </c>
      <c r="C233" s="25">
        <f>VLOOKUP(D233, '#조건테이블'!$E$8:$F$98, 2, FALSE)</f>
        <v>3</v>
      </c>
      <c r="D233" s="26" t="s">
        <v>172</v>
      </c>
      <c r="E233" s="25">
        <f>VLOOKUP(F233, '#조건테이블'!$A$8:$B$98, 2, FALSE)</f>
        <v>1</v>
      </c>
      <c r="F233" s="27" t="s">
        <v>160</v>
      </c>
      <c r="G233" s="24">
        <v>0.0</v>
      </c>
      <c r="H233" s="24">
        <v>15.0</v>
      </c>
      <c r="J233" s="21" t="str">
        <f t="shared" si="24"/>
        <v>"3":{"Key":3,"Con":1,"Val":15}</v>
      </c>
    </row>
    <row r="235">
      <c r="A235" s="21" t="str">
        <f>"# 장비 idx " &amp;A237&amp; VLOOKUP(A237,GearData!A$2:C$491,5,FALSE)</f>
        <v>#REF!</v>
      </c>
    </row>
    <row r="236">
      <c r="A236" s="22" t="s">
        <v>0</v>
      </c>
      <c r="B236" s="23" t="s">
        <v>152</v>
      </c>
      <c r="C236" s="22" t="s">
        <v>153</v>
      </c>
      <c r="D236" s="22" t="s">
        <v>154</v>
      </c>
      <c r="E236" s="23" t="s">
        <v>155</v>
      </c>
      <c r="F236" s="22" t="s">
        <v>156</v>
      </c>
      <c r="G236" s="23" t="s">
        <v>157</v>
      </c>
      <c r="H236" s="23" t="s">
        <v>158</v>
      </c>
    </row>
    <row r="237">
      <c r="A237" s="24">
        <v>20045.0</v>
      </c>
      <c r="B237" s="25">
        <v>1.0</v>
      </c>
      <c r="C237" s="25">
        <f>VLOOKUP(D237, '#조건테이블'!$E$8:$F$98, 2, FALSE)</f>
        <v>4</v>
      </c>
      <c r="D237" s="26" t="s">
        <v>159</v>
      </c>
      <c r="E237" s="25">
        <f>VLOOKUP(F237, '#조건테이블'!$A$8:$B$98, 2, FALSE)</f>
        <v>1</v>
      </c>
      <c r="F237" s="27" t="s">
        <v>160</v>
      </c>
      <c r="G237" s="24">
        <v>0.0</v>
      </c>
      <c r="H237" s="24">
        <v>7.0</v>
      </c>
      <c r="J237" s="21" t="str">
        <f t="shared" ref="J237:J242" si="25">""""&amp;B237&amp;""":{"""&amp;C$2&amp;""":"&amp;C237&amp;","""&amp;E$2&amp;""":"&amp;E237&amp;","""&amp;H$2&amp;""":"&amp;H237&amp;"}"</f>
        <v>"1":{"Key":4,"Con":1,"Val":7}</v>
      </c>
      <c r="K237" s="21" t="str">
        <f>"{"&amp;J237&amp;","&amp;J238&amp;","&amp;J239&amp;"}"</f>
        <v>{"1":{"Key":4,"Con":1,"Val":7},"2":{"Key":4,"Con":1,"Val":14},"3":{"Key":4,"Con":1,"Val":20}}</v>
      </c>
    </row>
    <row r="238">
      <c r="A238" s="25"/>
      <c r="B238" s="25">
        <v>2.0</v>
      </c>
      <c r="C238" s="25">
        <f>VLOOKUP(D238, '#조건테이블'!$E$8:$F$98, 2, FALSE)</f>
        <v>4</v>
      </c>
      <c r="D238" s="26" t="s">
        <v>159</v>
      </c>
      <c r="E238" s="25">
        <f>VLOOKUP(F238, '#조건테이블'!$A$8:$B$98, 2, FALSE)</f>
        <v>1</v>
      </c>
      <c r="F238" s="27" t="s">
        <v>160</v>
      </c>
      <c r="G238" s="24">
        <v>0.0</v>
      </c>
      <c r="H238" s="24">
        <v>14.0</v>
      </c>
      <c r="J238" s="21" t="str">
        <f t="shared" si="25"/>
        <v>"2":{"Key":4,"Con":1,"Val":14}</v>
      </c>
    </row>
    <row r="239">
      <c r="A239" s="25"/>
      <c r="B239" s="25">
        <v>3.0</v>
      </c>
      <c r="C239" s="25">
        <f>VLOOKUP(D239, '#조건테이블'!$E$8:$F$98, 2, FALSE)</f>
        <v>4</v>
      </c>
      <c r="D239" s="26" t="s">
        <v>159</v>
      </c>
      <c r="E239" s="25">
        <f>VLOOKUP(F239, '#조건테이블'!$A$8:$B$98, 2, FALSE)</f>
        <v>1</v>
      </c>
      <c r="F239" s="27" t="s">
        <v>160</v>
      </c>
      <c r="G239" s="24">
        <v>0.0</v>
      </c>
      <c r="H239" s="24">
        <v>20.0</v>
      </c>
      <c r="J239" s="21" t="str">
        <f t="shared" si="25"/>
        <v>"3":{"Key":4,"Con":1,"Val":20}</v>
      </c>
    </row>
    <row r="240">
      <c r="A240" s="24">
        <f>A237+10000</f>
        <v>30045</v>
      </c>
      <c r="B240" s="25">
        <v>1.0</v>
      </c>
      <c r="C240" s="25">
        <f>VLOOKUP(D240, '#조건테이블'!$E$8:$F$98, 2, FALSE)</f>
        <v>5</v>
      </c>
      <c r="D240" s="26" t="s">
        <v>177</v>
      </c>
      <c r="E240" s="25">
        <f>VLOOKUP(F240, '#조건테이블'!$A$8:$B$98, 2, FALSE)</f>
        <v>1</v>
      </c>
      <c r="F240" s="27" t="s">
        <v>160</v>
      </c>
      <c r="G240" s="24">
        <v>0.0</v>
      </c>
      <c r="H240" s="24">
        <v>7.0</v>
      </c>
      <c r="J240" s="21" t="str">
        <f t="shared" si="25"/>
        <v>"1":{"Key":5,"Con":1,"Val":7}</v>
      </c>
      <c r="K240" s="21" t="str">
        <f>"{"&amp;J240&amp;","&amp;J241&amp;","&amp;J242&amp;"}"</f>
        <v>{"1":{"Key":5,"Con":1,"Val":7},"2":{"Key":5,"Con":1,"Val":14},"3":{"Key":5,"Con":1,"Val":20}}</v>
      </c>
    </row>
    <row r="241">
      <c r="A241" s="25"/>
      <c r="B241" s="25">
        <v>2.0</v>
      </c>
      <c r="C241" s="25">
        <f>VLOOKUP(D241, '#조건테이블'!$E$8:$F$98, 2, FALSE)</f>
        <v>5</v>
      </c>
      <c r="D241" s="26" t="s">
        <v>177</v>
      </c>
      <c r="E241" s="25">
        <f>VLOOKUP(F241, '#조건테이블'!$A$8:$B$98, 2, FALSE)</f>
        <v>1</v>
      </c>
      <c r="F241" s="27" t="s">
        <v>160</v>
      </c>
      <c r="G241" s="24">
        <v>0.0</v>
      </c>
      <c r="H241" s="24">
        <v>14.0</v>
      </c>
      <c r="J241" s="21" t="str">
        <f t="shared" si="25"/>
        <v>"2":{"Key":5,"Con":1,"Val":14}</v>
      </c>
    </row>
    <row r="242">
      <c r="A242" s="25"/>
      <c r="B242" s="25">
        <v>3.0</v>
      </c>
      <c r="C242" s="25">
        <f>VLOOKUP(D242, '#조건테이블'!$E$8:$F$98, 2, FALSE)</f>
        <v>5</v>
      </c>
      <c r="D242" s="26" t="s">
        <v>177</v>
      </c>
      <c r="E242" s="25">
        <f>VLOOKUP(F242, '#조건테이블'!$A$8:$B$98, 2, FALSE)</f>
        <v>1</v>
      </c>
      <c r="F242" s="27" t="s">
        <v>160</v>
      </c>
      <c r="G242" s="24">
        <v>0.0</v>
      </c>
      <c r="H242" s="24">
        <v>20.0</v>
      </c>
      <c r="J242" s="21" t="str">
        <f t="shared" si="25"/>
        <v>"3":{"Key":5,"Con":1,"Val":20}</v>
      </c>
    </row>
    <row r="244">
      <c r="A244" s="21" t="str">
        <f>"# 장비 idx " &amp;A246&amp; VLOOKUP(A246,GearData!A$2:C$491,5,FALSE)</f>
        <v>#REF!</v>
      </c>
    </row>
    <row r="245">
      <c r="A245" s="22" t="s">
        <v>0</v>
      </c>
      <c r="B245" s="23" t="s">
        <v>152</v>
      </c>
      <c r="C245" s="22" t="s">
        <v>153</v>
      </c>
      <c r="D245" s="22" t="s">
        <v>154</v>
      </c>
      <c r="E245" s="23" t="s">
        <v>155</v>
      </c>
      <c r="F245" s="22" t="s">
        <v>156</v>
      </c>
      <c r="G245" s="23" t="s">
        <v>157</v>
      </c>
      <c r="H245" s="23" t="s">
        <v>158</v>
      </c>
    </row>
    <row r="246">
      <c r="A246" s="24">
        <v>20046.0</v>
      </c>
      <c r="B246" s="25">
        <v>1.0</v>
      </c>
      <c r="C246" s="25">
        <f>VLOOKUP(D246, '#조건테이블'!$E$8:$F$98, 2, FALSE)</f>
        <v>1</v>
      </c>
      <c r="D246" s="26" t="s">
        <v>184</v>
      </c>
      <c r="E246" s="25">
        <f>VLOOKUP(F246, '#조건테이블'!$A$8:$B$98, 2, FALSE)</f>
        <v>1</v>
      </c>
      <c r="F246" s="27" t="s">
        <v>160</v>
      </c>
      <c r="G246" s="24">
        <v>0.0</v>
      </c>
      <c r="H246" s="24">
        <v>5.0</v>
      </c>
      <c r="J246" s="21" t="str">
        <f t="shared" ref="J246:J251" si="26">""""&amp;B246&amp;""":{"""&amp;C$2&amp;""":"&amp;C246&amp;","""&amp;E$2&amp;""":"&amp;E246&amp;","""&amp;H$2&amp;""":"&amp;H246&amp;"}"</f>
        <v>"1":{"Key":1,"Con":1,"Val":5}</v>
      </c>
      <c r="K246" s="21" t="str">
        <f>"{"&amp;J246&amp;","&amp;J247&amp;","&amp;J248&amp;"}"</f>
        <v>{"1":{"Key":1,"Con":1,"Val":5},"2":{"Key":1,"Con":1,"Val":10},"3":{"Key":1,"Con":1,"Val":15}}</v>
      </c>
    </row>
    <row r="247">
      <c r="A247" s="25"/>
      <c r="B247" s="25">
        <v>2.0</v>
      </c>
      <c r="C247" s="25">
        <f>VLOOKUP(D247, '#조건테이블'!$E$8:$F$98, 2, FALSE)</f>
        <v>1</v>
      </c>
      <c r="D247" s="26" t="s">
        <v>184</v>
      </c>
      <c r="E247" s="25">
        <f>VLOOKUP(F247, '#조건테이블'!$A$8:$B$98, 2, FALSE)</f>
        <v>1</v>
      </c>
      <c r="F247" s="27" t="s">
        <v>160</v>
      </c>
      <c r="G247" s="24">
        <v>0.0</v>
      </c>
      <c r="H247" s="24">
        <v>10.0</v>
      </c>
      <c r="J247" s="21" t="str">
        <f t="shared" si="26"/>
        <v>"2":{"Key":1,"Con":1,"Val":10}</v>
      </c>
    </row>
    <row r="248">
      <c r="A248" s="25"/>
      <c r="B248" s="25">
        <v>3.0</v>
      </c>
      <c r="C248" s="25">
        <f>VLOOKUP(D248, '#조건테이블'!$E$8:$F$98, 2, FALSE)</f>
        <v>1</v>
      </c>
      <c r="D248" s="26" t="s">
        <v>184</v>
      </c>
      <c r="E248" s="25">
        <f>VLOOKUP(F248, '#조건테이블'!$A$8:$B$98, 2, FALSE)</f>
        <v>1</v>
      </c>
      <c r="F248" s="27" t="s">
        <v>160</v>
      </c>
      <c r="G248" s="24">
        <v>0.0</v>
      </c>
      <c r="H248" s="24">
        <v>15.0</v>
      </c>
      <c r="J248" s="21" t="str">
        <f t="shared" si="26"/>
        <v>"3":{"Key":1,"Con":1,"Val":15}</v>
      </c>
    </row>
    <row r="249">
      <c r="A249" s="24">
        <f>A246+10000</f>
        <v>30046</v>
      </c>
      <c r="B249" s="25">
        <v>1.0</v>
      </c>
      <c r="C249" s="25">
        <f>VLOOKUP(D249, '#조건테이블'!$E$8:$F$98, 2, FALSE)</f>
        <v>6</v>
      </c>
      <c r="D249" s="26" t="s">
        <v>168</v>
      </c>
      <c r="E249" s="25">
        <f>VLOOKUP(F249, '#조건테이블'!$A$8:$B$98, 2, FALSE)</f>
        <v>1</v>
      </c>
      <c r="F249" s="27" t="s">
        <v>160</v>
      </c>
      <c r="G249" s="24">
        <v>0.0</v>
      </c>
      <c r="H249" s="24">
        <v>7.0</v>
      </c>
      <c r="J249" s="21" t="str">
        <f t="shared" si="26"/>
        <v>"1":{"Key":6,"Con":1,"Val":7}</v>
      </c>
      <c r="K249" s="21" t="str">
        <f>"{"&amp;J249&amp;","&amp;J250&amp;","&amp;J251&amp;"}"</f>
        <v>{"1":{"Key":6,"Con":1,"Val":7},"2":{"Key":6,"Con":1,"Val":14},"3":{"Key":6,"Con":1,"Val":20}}</v>
      </c>
    </row>
    <row r="250">
      <c r="A250" s="25"/>
      <c r="B250" s="25">
        <v>2.0</v>
      </c>
      <c r="C250" s="25">
        <f>VLOOKUP(D250, '#조건테이블'!$E$8:$F$98, 2, FALSE)</f>
        <v>6</v>
      </c>
      <c r="D250" s="26" t="s">
        <v>168</v>
      </c>
      <c r="E250" s="25">
        <f>VLOOKUP(F250, '#조건테이블'!$A$8:$B$98, 2, FALSE)</f>
        <v>1</v>
      </c>
      <c r="F250" s="27" t="s">
        <v>160</v>
      </c>
      <c r="G250" s="24">
        <v>0.0</v>
      </c>
      <c r="H250" s="24">
        <v>14.0</v>
      </c>
      <c r="J250" s="21" t="str">
        <f t="shared" si="26"/>
        <v>"2":{"Key":6,"Con":1,"Val":14}</v>
      </c>
    </row>
    <row r="251">
      <c r="A251" s="25"/>
      <c r="B251" s="25">
        <v>3.0</v>
      </c>
      <c r="C251" s="25">
        <f>VLOOKUP(D251, '#조건테이블'!$E$8:$F$98, 2, FALSE)</f>
        <v>6</v>
      </c>
      <c r="D251" s="26" t="s">
        <v>168</v>
      </c>
      <c r="E251" s="25">
        <f>VLOOKUP(F251, '#조건테이블'!$A$8:$B$98, 2, FALSE)</f>
        <v>1</v>
      </c>
      <c r="F251" s="27" t="s">
        <v>160</v>
      </c>
      <c r="G251" s="24">
        <v>0.0</v>
      </c>
      <c r="H251" s="24">
        <v>20.0</v>
      </c>
      <c r="J251" s="21" t="str">
        <f t="shared" si="26"/>
        <v>"3":{"Key":6,"Con":1,"Val":20}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7">
      <c r="A7" s="21" t="s">
        <v>188</v>
      </c>
      <c r="E7" s="4" t="s">
        <v>189</v>
      </c>
      <c r="I7" s="4" t="s">
        <v>190</v>
      </c>
      <c r="M7" s="21" t="s">
        <v>191</v>
      </c>
      <c r="Q7" s="28" t="s">
        <v>192</v>
      </c>
      <c r="R7" s="28"/>
      <c r="S7" s="28" t="s">
        <v>193</v>
      </c>
    </row>
    <row r="8">
      <c r="A8" s="27" t="s">
        <v>160</v>
      </c>
      <c r="B8" s="27">
        <v>1.0</v>
      </c>
      <c r="E8" s="24" t="s">
        <v>184</v>
      </c>
      <c r="F8" s="24">
        <v>1.0</v>
      </c>
      <c r="I8" s="29" t="s">
        <v>194</v>
      </c>
      <c r="J8" s="29">
        <v>1.0</v>
      </c>
      <c r="M8" s="25" t="s">
        <v>195</v>
      </c>
      <c r="N8" s="25">
        <v>1.0</v>
      </c>
      <c r="Q8" s="30">
        <v>10001.0</v>
      </c>
      <c r="R8" s="31" t="s">
        <v>196</v>
      </c>
      <c r="S8" s="32" t="s">
        <v>197</v>
      </c>
    </row>
    <row r="9">
      <c r="A9" s="27" t="s">
        <v>198</v>
      </c>
      <c r="B9" s="27">
        <v>2.0</v>
      </c>
      <c r="E9" s="24" t="s">
        <v>181</v>
      </c>
      <c r="F9" s="24">
        <v>2.0</v>
      </c>
      <c r="I9" s="29" t="s">
        <v>199</v>
      </c>
      <c r="J9" s="29">
        <v>2.0</v>
      </c>
      <c r="M9" s="25" t="s">
        <v>200</v>
      </c>
      <c r="N9" s="25">
        <v>2.0</v>
      </c>
      <c r="Q9" s="33">
        <f t="shared" ref="Q9:Q53" si="1">Q8+1</f>
        <v>10002</v>
      </c>
      <c r="R9" s="31" t="s">
        <v>201</v>
      </c>
      <c r="S9" s="32" t="s">
        <v>197</v>
      </c>
    </row>
    <row r="10">
      <c r="A10" s="27" t="s">
        <v>202</v>
      </c>
      <c r="B10" s="27">
        <v>3.0</v>
      </c>
      <c r="E10" s="24" t="s">
        <v>172</v>
      </c>
      <c r="F10" s="24">
        <v>3.0</v>
      </c>
      <c r="I10" s="29" t="s">
        <v>203</v>
      </c>
      <c r="J10" s="29">
        <v>3.0</v>
      </c>
      <c r="M10" s="25" t="s">
        <v>204</v>
      </c>
      <c r="N10" s="25">
        <v>3.0</v>
      </c>
      <c r="Q10" s="33">
        <f t="shared" si="1"/>
        <v>10003</v>
      </c>
      <c r="R10" s="31" t="s">
        <v>205</v>
      </c>
      <c r="S10" s="32" t="s">
        <v>197</v>
      </c>
    </row>
    <row r="11">
      <c r="A11" s="27" t="s">
        <v>206</v>
      </c>
      <c r="B11" s="27">
        <v>4.0</v>
      </c>
      <c r="E11" s="24" t="s">
        <v>159</v>
      </c>
      <c r="F11" s="24">
        <v>4.0</v>
      </c>
      <c r="I11" s="26" t="s">
        <v>207</v>
      </c>
      <c r="J11" s="26">
        <v>4.0</v>
      </c>
      <c r="M11" s="25" t="s">
        <v>208</v>
      </c>
      <c r="N11" s="25">
        <v>4.0</v>
      </c>
      <c r="Q11" s="33">
        <f t="shared" si="1"/>
        <v>10004</v>
      </c>
      <c r="R11" s="31" t="s">
        <v>209</v>
      </c>
      <c r="S11" s="32" t="s">
        <v>210</v>
      </c>
    </row>
    <row r="12">
      <c r="A12" s="27" t="s">
        <v>211</v>
      </c>
      <c r="B12" s="27">
        <v>5.0</v>
      </c>
      <c r="E12" s="24" t="s">
        <v>177</v>
      </c>
      <c r="F12" s="24">
        <v>5.0</v>
      </c>
      <c r="I12" s="29"/>
      <c r="J12" s="29"/>
      <c r="M12" s="25" t="s">
        <v>212</v>
      </c>
      <c r="N12" s="25">
        <v>5.0</v>
      </c>
      <c r="Q12" s="33">
        <f t="shared" si="1"/>
        <v>10005</v>
      </c>
      <c r="R12" s="31" t="s">
        <v>213</v>
      </c>
      <c r="S12" s="32" t="s">
        <v>210</v>
      </c>
    </row>
    <row r="13">
      <c r="A13" s="27" t="s">
        <v>214</v>
      </c>
      <c r="B13" s="27">
        <v>6.0</v>
      </c>
      <c r="E13" s="24" t="s">
        <v>168</v>
      </c>
      <c r="F13" s="24">
        <v>6.0</v>
      </c>
      <c r="I13" s="29"/>
      <c r="J13" s="29"/>
      <c r="M13" s="34"/>
      <c r="N13" s="35"/>
      <c r="Q13" s="33">
        <f t="shared" si="1"/>
        <v>10006</v>
      </c>
      <c r="R13" s="31" t="s">
        <v>215</v>
      </c>
      <c r="S13" s="32" t="s">
        <v>210</v>
      </c>
    </row>
    <row r="14">
      <c r="A14" s="27" t="s">
        <v>216</v>
      </c>
      <c r="B14" s="27">
        <v>7.0</v>
      </c>
      <c r="E14" s="24" t="s">
        <v>217</v>
      </c>
      <c r="F14" s="24">
        <v>7.0</v>
      </c>
      <c r="I14" s="29"/>
      <c r="J14" s="29"/>
      <c r="M14" s="34"/>
      <c r="N14" s="35"/>
      <c r="Q14" s="33">
        <f t="shared" si="1"/>
        <v>10007</v>
      </c>
      <c r="R14" s="31" t="s">
        <v>218</v>
      </c>
      <c r="S14" s="32" t="s">
        <v>219</v>
      </c>
    </row>
    <row r="15">
      <c r="A15" s="27" t="s">
        <v>220</v>
      </c>
      <c r="B15" s="27">
        <v>8.0</v>
      </c>
      <c r="E15" s="24" t="s">
        <v>187</v>
      </c>
      <c r="F15" s="24">
        <v>8.0</v>
      </c>
      <c r="I15" s="29"/>
      <c r="J15" s="29"/>
      <c r="M15" s="25"/>
      <c r="N15" s="25"/>
      <c r="Q15" s="33">
        <f t="shared" si="1"/>
        <v>10008</v>
      </c>
      <c r="R15" s="31" t="s">
        <v>221</v>
      </c>
      <c r="S15" s="32" t="s">
        <v>219</v>
      </c>
    </row>
    <row r="16">
      <c r="A16" s="27" t="s">
        <v>222</v>
      </c>
      <c r="B16" s="27">
        <v>9.0</v>
      </c>
      <c r="E16" s="24" t="s">
        <v>173</v>
      </c>
      <c r="F16" s="24">
        <v>9.0</v>
      </c>
      <c r="G16" s="16" t="s">
        <v>223</v>
      </c>
      <c r="I16" s="29"/>
      <c r="J16" s="29"/>
      <c r="M16" s="25"/>
      <c r="N16" s="25"/>
      <c r="Q16" s="33">
        <f t="shared" si="1"/>
        <v>10009</v>
      </c>
      <c r="R16" s="31" t="s">
        <v>224</v>
      </c>
      <c r="S16" s="32" t="s">
        <v>219</v>
      </c>
    </row>
    <row r="17">
      <c r="A17" s="27" t="s">
        <v>225</v>
      </c>
      <c r="B17" s="27">
        <v>10.0</v>
      </c>
      <c r="E17" s="24" t="s">
        <v>226</v>
      </c>
      <c r="F17" s="24">
        <v>10.0</v>
      </c>
      <c r="I17" s="29"/>
      <c r="J17" s="29"/>
      <c r="M17" s="25"/>
      <c r="N17" s="25"/>
      <c r="Q17" s="33">
        <f t="shared" si="1"/>
        <v>10010</v>
      </c>
      <c r="R17" s="31" t="s">
        <v>227</v>
      </c>
      <c r="S17" s="32" t="s">
        <v>210</v>
      </c>
    </row>
    <row r="18">
      <c r="A18" s="27" t="s">
        <v>228</v>
      </c>
      <c r="B18" s="27">
        <v>11.0</v>
      </c>
      <c r="E18" s="24" t="s">
        <v>229</v>
      </c>
      <c r="F18" s="24">
        <v>11.0</v>
      </c>
      <c r="I18" s="29"/>
      <c r="J18" s="29"/>
      <c r="M18" s="25"/>
      <c r="N18" s="25"/>
      <c r="Q18" s="33">
        <f t="shared" si="1"/>
        <v>10011</v>
      </c>
      <c r="R18" s="31" t="s">
        <v>230</v>
      </c>
      <c r="S18" s="32" t="s">
        <v>219</v>
      </c>
    </row>
    <row r="19">
      <c r="A19" s="27" t="s">
        <v>231</v>
      </c>
      <c r="B19" s="27">
        <v>12.0</v>
      </c>
      <c r="E19" s="24" t="s">
        <v>232</v>
      </c>
      <c r="F19" s="24">
        <v>12.0</v>
      </c>
      <c r="I19" s="29"/>
      <c r="J19" s="29"/>
      <c r="M19" s="25"/>
      <c r="N19" s="25"/>
      <c r="Q19" s="33">
        <f t="shared" si="1"/>
        <v>10012</v>
      </c>
      <c r="R19" s="31" t="s">
        <v>233</v>
      </c>
      <c r="S19" s="32" t="s">
        <v>219</v>
      </c>
    </row>
    <row r="20">
      <c r="A20" s="27" t="s">
        <v>234</v>
      </c>
      <c r="B20" s="27">
        <v>13.0</v>
      </c>
      <c r="E20" s="24" t="s">
        <v>164</v>
      </c>
      <c r="F20" s="24">
        <v>13.0</v>
      </c>
      <c r="G20" s="16" t="s">
        <v>235</v>
      </c>
      <c r="I20" s="29"/>
      <c r="J20" s="29"/>
      <c r="Q20" s="33">
        <f t="shared" si="1"/>
        <v>10013</v>
      </c>
      <c r="R20" s="31" t="s">
        <v>236</v>
      </c>
      <c r="S20" s="32" t="s">
        <v>219</v>
      </c>
    </row>
    <row r="21">
      <c r="A21" s="27" t="s">
        <v>237</v>
      </c>
      <c r="B21" s="27">
        <v>14.0</v>
      </c>
      <c r="E21" s="36" t="s">
        <v>161</v>
      </c>
      <c r="F21" s="37">
        <v>14.0</v>
      </c>
      <c r="G21" s="38" t="s">
        <v>238</v>
      </c>
      <c r="I21" s="29"/>
      <c r="J21" s="29"/>
      <c r="Q21" s="33">
        <f t="shared" si="1"/>
        <v>10014</v>
      </c>
      <c r="R21" s="31" t="s">
        <v>239</v>
      </c>
      <c r="S21" s="32" t="s">
        <v>219</v>
      </c>
    </row>
    <row r="22">
      <c r="A22" s="27" t="s">
        <v>240</v>
      </c>
      <c r="B22" s="27">
        <v>15.0</v>
      </c>
      <c r="E22" s="39" t="s">
        <v>241</v>
      </c>
      <c r="F22" s="40">
        <v>15.0</v>
      </c>
      <c r="G22" s="41" t="s">
        <v>242</v>
      </c>
      <c r="I22" s="29"/>
      <c r="J22" s="29"/>
      <c r="Q22" s="33">
        <f t="shared" si="1"/>
        <v>10015</v>
      </c>
      <c r="R22" s="31" t="s">
        <v>243</v>
      </c>
      <c r="S22" s="32" t="s">
        <v>244</v>
      </c>
    </row>
    <row r="23">
      <c r="A23" s="27" t="s">
        <v>245</v>
      </c>
      <c r="B23" s="27">
        <v>16.0</v>
      </c>
      <c r="E23" s="36" t="s">
        <v>175</v>
      </c>
      <c r="F23" s="37">
        <v>16.0</v>
      </c>
      <c r="G23" s="38" t="s">
        <v>246</v>
      </c>
      <c r="I23" s="29"/>
      <c r="J23" s="29"/>
      <c r="Q23" s="33">
        <f t="shared" si="1"/>
        <v>10016</v>
      </c>
      <c r="R23" s="31" t="s">
        <v>247</v>
      </c>
      <c r="S23" s="32" t="s">
        <v>244</v>
      </c>
    </row>
    <row r="24">
      <c r="A24" s="27" t="s">
        <v>248</v>
      </c>
      <c r="B24" s="27">
        <v>17.0</v>
      </c>
      <c r="E24" s="25"/>
      <c r="F24" s="25"/>
      <c r="I24" s="29"/>
      <c r="J24" s="29"/>
      <c r="Q24" s="33">
        <f t="shared" si="1"/>
        <v>10017</v>
      </c>
      <c r="R24" s="31" t="s">
        <v>249</v>
      </c>
      <c r="S24" s="32" t="s">
        <v>244</v>
      </c>
    </row>
    <row r="25">
      <c r="A25" s="27" t="s">
        <v>250</v>
      </c>
      <c r="B25" s="27">
        <v>18.0</v>
      </c>
      <c r="E25" s="25"/>
      <c r="F25" s="25"/>
      <c r="I25" s="29"/>
      <c r="J25" s="29"/>
      <c r="Q25" s="33">
        <f t="shared" si="1"/>
        <v>10018</v>
      </c>
      <c r="R25" s="31" t="s">
        <v>251</v>
      </c>
      <c r="S25" s="32" t="s">
        <v>244</v>
      </c>
    </row>
    <row r="26">
      <c r="A26" s="27" t="s">
        <v>252</v>
      </c>
      <c r="B26" s="27">
        <v>19.0</v>
      </c>
      <c r="E26" s="25"/>
      <c r="F26" s="25"/>
      <c r="I26" s="29"/>
      <c r="J26" s="29"/>
      <c r="Q26" s="33">
        <f t="shared" si="1"/>
        <v>10019</v>
      </c>
      <c r="R26" s="31" t="s">
        <v>253</v>
      </c>
      <c r="S26" s="32" t="s">
        <v>244</v>
      </c>
    </row>
    <row r="27">
      <c r="A27" s="27" t="s">
        <v>254</v>
      </c>
      <c r="B27" s="27">
        <v>20.0</v>
      </c>
      <c r="E27" s="25"/>
      <c r="F27" s="25"/>
      <c r="I27" s="29"/>
      <c r="J27" s="29"/>
      <c r="Q27" s="33">
        <f t="shared" si="1"/>
        <v>10020</v>
      </c>
      <c r="R27" s="31" t="s">
        <v>255</v>
      </c>
      <c r="S27" s="32" t="s">
        <v>244</v>
      </c>
    </row>
    <row r="28">
      <c r="A28" s="27" t="s">
        <v>256</v>
      </c>
      <c r="B28" s="27">
        <v>21.0</v>
      </c>
      <c r="E28" s="25"/>
      <c r="F28" s="25"/>
      <c r="I28" s="29"/>
      <c r="J28" s="29"/>
      <c r="Q28" s="33">
        <f t="shared" si="1"/>
        <v>10021</v>
      </c>
      <c r="R28" s="31" t="s">
        <v>257</v>
      </c>
      <c r="S28" s="32" t="s">
        <v>244</v>
      </c>
    </row>
    <row r="29">
      <c r="A29" s="27" t="s">
        <v>258</v>
      </c>
      <c r="B29" s="27">
        <v>22.0</v>
      </c>
      <c r="E29" s="25"/>
      <c r="F29" s="25"/>
      <c r="I29" s="29"/>
      <c r="J29" s="29"/>
      <c r="Q29" s="33">
        <f t="shared" si="1"/>
        <v>10022</v>
      </c>
      <c r="R29" s="31" t="s">
        <v>259</v>
      </c>
      <c r="S29" s="32" t="s">
        <v>210</v>
      </c>
    </row>
    <row r="30">
      <c r="A30" s="27" t="s">
        <v>260</v>
      </c>
      <c r="B30" s="27">
        <v>23.0</v>
      </c>
      <c r="E30" s="25"/>
      <c r="F30" s="25"/>
      <c r="I30" s="29"/>
      <c r="J30" s="29"/>
      <c r="Q30" s="33">
        <f t="shared" si="1"/>
        <v>10023</v>
      </c>
      <c r="R30" s="31" t="s">
        <v>261</v>
      </c>
      <c r="S30" s="32" t="s">
        <v>219</v>
      </c>
    </row>
    <row r="31">
      <c r="A31" s="27" t="s">
        <v>262</v>
      </c>
      <c r="B31" s="27">
        <v>24.0</v>
      </c>
      <c r="E31" s="25"/>
      <c r="F31" s="25"/>
      <c r="I31" s="29"/>
      <c r="J31" s="29"/>
      <c r="Q31" s="33">
        <f t="shared" si="1"/>
        <v>10024</v>
      </c>
      <c r="R31" s="31" t="s">
        <v>263</v>
      </c>
      <c r="S31" s="32" t="s">
        <v>264</v>
      </c>
    </row>
    <row r="32">
      <c r="A32" s="27" t="s">
        <v>265</v>
      </c>
      <c r="B32" s="27">
        <v>25.0</v>
      </c>
      <c r="E32" s="25"/>
      <c r="F32" s="25"/>
      <c r="I32" s="29"/>
      <c r="J32" s="29"/>
      <c r="Q32" s="33">
        <f t="shared" si="1"/>
        <v>10025</v>
      </c>
      <c r="R32" s="31" t="s">
        <v>266</v>
      </c>
      <c r="S32" s="32" t="s">
        <v>267</v>
      </c>
    </row>
    <row r="33">
      <c r="A33" s="27" t="s">
        <v>268</v>
      </c>
      <c r="B33" s="27">
        <v>26.0</v>
      </c>
      <c r="E33" s="25"/>
      <c r="F33" s="25"/>
      <c r="I33" s="29"/>
      <c r="J33" s="29"/>
      <c r="Q33" s="33">
        <f t="shared" si="1"/>
        <v>10026</v>
      </c>
      <c r="R33" s="31" t="s">
        <v>269</v>
      </c>
      <c r="S33" s="32" t="s">
        <v>210</v>
      </c>
    </row>
    <row r="34">
      <c r="A34" s="27" t="s">
        <v>270</v>
      </c>
      <c r="B34" s="27">
        <v>27.0</v>
      </c>
      <c r="E34" s="25"/>
      <c r="F34" s="25"/>
      <c r="I34" s="29"/>
      <c r="J34" s="29"/>
      <c r="Q34" s="33">
        <f t="shared" si="1"/>
        <v>10027</v>
      </c>
      <c r="R34" s="31" t="s">
        <v>271</v>
      </c>
      <c r="S34" s="32" t="s">
        <v>210</v>
      </c>
    </row>
    <row r="35">
      <c r="A35" s="27" t="s">
        <v>272</v>
      </c>
      <c r="B35" s="27">
        <v>28.0</v>
      </c>
      <c r="E35" s="25"/>
      <c r="F35" s="25"/>
      <c r="I35" s="29"/>
      <c r="J35" s="29"/>
      <c r="Q35" s="33">
        <f t="shared" si="1"/>
        <v>10028</v>
      </c>
      <c r="R35" s="31" t="s">
        <v>273</v>
      </c>
      <c r="S35" s="32" t="s">
        <v>210</v>
      </c>
    </row>
    <row r="36">
      <c r="A36" s="27" t="s">
        <v>274</v>
      </c>
      <c r="B36" s="27">
        <v>29.0</v>
      </c>
      <c r="E36" s="25"/>
      <c r="F36" s="25"/>
      <c r="I36" s="29"/>
      <c r="J36" s="29"/>
      <c r="Q36" s="33">
        <f t="shared" si="1"/>
        <v>10029</v>
      </c>
      <c r="R36" s="31" t="s">
        <v>275</v>
      </c>
      <c r="S36" s="32" t="s">
        <v>210</v>
      </c>
    </row>
    <row r="37">
      <c r="A37" s="27" t="s">
        <v>276</v>
      </c>
      <c r="B37" s="27">
        <v>30.0</v>
      </c>
      <c r="E37" s="25"/>
      <c r="F37" s="25"/>
      <c r="I37" s="29"/>
      <c r="J37" s="29"/>
      <c r="Q37" s="33">
        <f t="shared" si="1"/>
        <v>10030</v>
      </c>
      <c r="R37" s="31" t="s">
        <v>277</v>
      </c>
      <c r="S37" s="32" t="s">
        <v>197</v>
      </c>
    </row>
    <row r="38">
      <c r="A38" s="27" t="s">
        <v>278</v>
      </c>
      <c r="B38" s="27">
        <v>31.0</v>
      </c>
      <c r="E38" s="25"/>
      <c r="F38" s="25"/>
      <c r="I38" s="29"/>
      <c r="J38" s="29"/>
      <c r="Q38" s="33">
        <f t="shared" si="1"/>
        <v>10031</v>
      </c>
      <c r="R38" s="31" t="s">
        <v>279</v>
      </c>
      <c r="S38" s="32" t="s">
        <v>197</v>
      </c>
    </row>
    <row r="39">
      <c r="A39" s="27" t="s">
        <v>280</v>
      </c>
      <c r="B39" s="27">
        <v>32.0</v>
      </c>
      <c r="E39" s="25"/>
      <c r="F39" s="25"/>
      <c r="I39" s="29"/>
      <c r="J39" s="29"/>
      <c r="Q39" s="33">
        <f t="shared" si="1"/>
        <v>10032</v>
      </c>
      <c r="R39" s="31" t="s">
        <v>281</v>
      </c>
      <c r="S39" s="32" t="s">
        <v>197</v>
      </c>
    </row>
    <row r="40">
      <c r="A40" s="27" t="s">
        <v>282</v>
      </c>
      <c r="B40" s="27">
        <v>33.0</v>
      </c>
      <c r="E40" s="25"/>
      <c r="F40" s="25"/>
      <c r="I40" s="29"/>
      <c r="J40" s="29"/>
      <c r="Q40" s="33">
        <f t="shared" si="1"/>
        <v>10033</v>
      </c>
      <c r="R40" s="31" t="s">
        <v>283</v>
      </c>
      <c r="S40" s="32" t="s">
        <v>219</v>
      </c>
    </row>
    <row r="41">
      <c r="A41" s="27" t="s">
        <v>284</v>
      </c>
      <c r="B41" s="27">
        <v>34.0</v>
      </c>
      <c r="E41" s="25"/>
      <c r="F41" s="25"/>
      <c r="I41" s="29"/>
      <c r="J41" s="29"/>
      <c r="Q41" s="33">
        <f t="shared" si="1"/>
        <v>10034</v>
      </c>
      <c r="R41" s="31" t="s">
        <v>285</v>
      </c>
      <c r="S41" s="32" t="s">
        <v>219</v>
      </c>
    </row>
    <row r="42">
      <c r="A42" s="27" t="s">
        <v>286</v>
      </c>
      <c r="B42" s="27">
        <v>35.0</v>
      </c>
      <c r="E42" s="25"/>
      <c r="F42" s="25"/>
      <c r="I42" s="29"/>
      <c r="J42" s="29"/>
      <c r="Q42" s="33">
        <f t="shared" si="1"/>
        <v>10035</v>
      </c>
      <c r="R42" s="31" t="s">
        <v>287</v>
      </c>
      <c r="S42" s="32" t="s">
        <v>219</v>
      </c>
    </row>
    <row r="43">
      <c r="A43" s="27" t="s">
        <v>288</v>
      </c>
      <c r="B43" s="27">
        <v>36.0</v>
      </c>
      <c r="E43" s="25"/>
      <c r="F43" s="25"/>
      <c r="I43" s="29"/>
      <c r="J43" s="29"/>
      <c r="Q43" s="33">
        <f t="shared" si="1"/>
        <v>10036</v>
      </c>
      <c r="R43" s="31" t="s">
        <v>289</v>
      </c>
      <c r="S43" s="32" t="s">
        <v>210</v>
      </c>
    </row>
    <row r="44">
      <c r="A44" s="27" t="s">
        <v>290</v>
      </c>
      <c r="B44" s="27">
        <v>37.0</v>
      </c>
      <c r="E44" s="25"/>
      <c r="F44" s="25"/>
      <c r="I44" s="29"/>
      <c r="J44" s="29"/>
      <c r="Q44" s="33">
        <f t="shared" si="1"/>
        <v>10037</v>
      </c>
      <c r="R44" s="31" t="s">
        <v>291</v>
      </c>
      <c r="S44" s="32" t="s">
        <v>210</v>
      </c>
    </row>
    <row r="45">
      <c r="A45" s="27" t="s">
        <v>292</v>
      </c>
      <c r="B45" s="27">
        <v>38.0</v>
      </c>
      <c r="E45" s="25"/>
      <c r="F45" s="25"/>
      <c r="I45" s="29"/>
      <c r="J45" s="29"/>
      <c r="Q45" s="33">
        <f t="shared" si="1"/>
        <v>10038</v>
      </c>
      <c r="R45" s="31" t="s">
        <v>293</v>
      </c>
      <c r="S45" s="32" t="s">
        <v>197</v>
      </c>
    </row>
    <row r="46">
      <c r="A46" s="27" t="s">
        <v>294</v>
      </c>
      <c r="B46" s="27">
        <v>39.0</v>
      </c>
      <c r="E46" s="25"/>
      <c r="F46" s="25"/>
      <c r="I46" s="29"/>
      <c r="J46" s="29"/>
      <c r="Q46" s="33">
        <f t="shared" si="1"/>
        <v>10039</v>
      </c>
      <c r="R46" s="31" t="s">
        <v>295</v>
      </c>
      <c r="S46" s="32" t="s">
        <v>197</v>
      </c>
    </row>
    <row r="47">
      <c r="A47" s="27" t="s">
        <v>296</v>
      </c>
      <c r="B47" s="27">
        <v>40.0</v>
      </c>
      <c r="E47" s="25"/>
      <c r="F47" s="25"/>
      <c r="I47" s="29"/>
      <c r="J47" s="29"/>
      <c r="Q47" s="33">
        <f t="shared" si="1"/>
        <v>10040</v>
      </c>
      <c r="R47" s="31" t="s">
        <v>297</v>
      </c>
      <c r="S47" s="32" t="s">
        <v>197</v>
      </c>
    </row>
    <row r="48">
      <c r="A48" s="27" t="s">
        <v>298</v>
      </c>
      <c r="B48" s="27">
        <v>41.0</v>
      </c>
      <c r="E48" s="25"/>
      <c r="F48" s="25"/>
      <c r="I48" s="29"/>
      <c r="J48" s="29"/>
      <c r="Q48" s="33">
        <f t="shared" si="1"/>
        <v>10041</v>
      </c>
      <c r="R48" s="31" t="s">
        <v>299</v>
      </c>
      <c r="S48" s="32" t="s">
        <v>244</v>
      </c>
    </row>
    <row r="49">
      <c r="A49" s="27" t="s">
        <v>300</v>
      </c>
      <c r="B49" s="27">
        <v>42.0</v>
      </c>
      <c r="E49" s="25"/>
      <c r="F49" s="25"/>
      <c r="I49" s="29"/>
      <c r="J49" s="29"/>
      <c r="Q49" s="33">
        <f t="shared" si="1"/>
        <v>10042</v>
      </c>
      <c r="R49" s="31" t="s">
        <v>301</v>
      </c>
      <c r="S49" s="32" t="s">
        <v>219</v>
      </c>
    </row>
    <row r="50">
      <c r="A50" s="27" t="s">
        <v>302</v>
      </c>
      <c r="B50" s="27">
        <v>43.0</v>
      </c>
      <c r="E50" s="25"/>
      <c r="F50" s="25"/>
      <c r="I50" s="29"/>
      <c r="J50" s="29"/>
      <c r="Q50" s="33">
        <f t="shared" si="1"/>
        <v>10043</v>
      </c>
      <c r="R50" s="31" t="s">
        <v>303</v>
      </c>
      <c r="S50" s="32" t="s">
        <v>219</v>
      </c>
    </row>
    <row r="51">
      <c r="A51" s="27" t="s">
        <v>304</v>
      </c>
      <c r="B51" s="27">
        <v>44.0</v>
      </c>
      <c r="E51" s="25"/>
      <c r="F51" s="25"/>
      <c r="I51" s="29"/>
      <c r="J51" s="29"/>
      <c r="Q51" s="33">
        <f t="shared" si="1"/>
        <v>10044</v>
      </c>
      <c r="R51" s="31" t="s">
        <v>305</v>
      </c>
      <c r="S51" s="32" t="s">
        <v>197</v>
      </c>
    </row>
    <row r="52">
      <c r="A52" s="27" t="s">
        <v>306</v>
      </c>
      <c r="B52" s="27">
        <v>45.0</v>
      </c>
      <c r="E52" s="25"/>
      <c r="F52" s="25"/>
      <c r="I52" s="29"/>
      <c r="J52" s="29"/>
      <c r="Q52" s="33">
        <f t="shared" si="1"/>
        <v>10045</v>
      </c>
      <c r="R52" s="31" t="s">
        <v>307</v>
      </c>
      <c r="S52" s="32" t="s">
        <v>197</v>
      </c>
    </row>
    <row r="53">
      <c r="A53" s="27" t="s">
        <v>308</v>
      </c>
      <c r="B53" s="27">
        <v>46.0</v>
      </c>
      <c r="E53" s="25"/>
      <c r="F53" s="25"/>
      <c r="I53" s="29"/>
      <c r="J53" s="29"/>
      <c r="Q53" s="33">
        <f t="shared" si="1"/>
        <v>10046</v>
      </c>
      <c r="R53" s="31" t="s">
        <v>309</v>
      </c>
      <c r="S53" s="32" t="s">
        <v>197</v>
      </c>
    </row>
    <row r="54">
      <c r="A54" s="42"/>
      <c r="B54" s="42"/>
      <c r="E54" s="25"/>
      <c r="F54" s="25"/>
      <c r="I54" s="29"/>
      <c r="J54" s="29"/>
      <c r="Q54" s="43">
        <v>10101.0</v>
      </c>
      <c r="R54" s="31" t="s">
        <v>310</v>
      </c>
      <c r="S54" s="32" t="s">
        <v>311</v>
      </c>
    </row>
    <row r="55">
      <c r="A55" s="42"/>
      <c r="B55" s="42"/>
      <c r="E55" s="25"/>
      <c r="F55" s="25"/>
      <c r="I55" s="29"/>
      <c r="J55" s="29"/>
      <c r="Q55" s="44">
        <f t="shared" ref="Q55:Q76" si="2">Q54+1</f>
        <v>10102</v>
      </c>
      <c r="R55" s="31" t="s">
        <v>312</v>
      </c>
      <c r="S55" s="32" t="s">
        <v>311</v>
      </c>
    </row>
    <row r="56">
      <c r="A56" s="42"/>
      <c r="B56" s="42"/>
      <c r="E56" s="25"/>
      <c r="F56" s="25"/>
      <c r="I56" s="29"/>
      <c r="J56" s="29"/>
      <c r="Q56" s="44">
        <f t="shared" si="2"/>
        <v>10103</v>
      </c>
      <c r="R56" s="31" t="s">
        <v>313</v>
      </c>
      <c r="S56" s="32" t="s">
        <v>311</v>
      </c>
    </row>
    <row r="57">
      <c r="A57" s="42"/>
      <c r="B57" s="42"/>
      <c r="E57" s="25"/>
      <c r="F57" s="25"/>
      <c r="I57" s="29"/>
      <c r="J57" s="29"/>
      <c r="Q57" s="44">
        <f t="shared" si="2"/>
        <v>10104</v>
      </c>
      <c r="R57" s="31" t="s">
        <v>314</v>
      </c>
      <c r="S57" s="32" t="s">
        <v>315</v>
      </c>
    </row>
    <row r="58">
      <c r="A58" s="42"/>
      <c r="B58" s="42"/>
      <c r="E58" s="25"/>
      <c r="F58" s="25"/>
      <c r="I58" s="29"/>
      <c r="J58" s="29"/>
      <c r="Q58" s="44">
        <f t="shared" si="2"/>
        <v>10105</v>
      </c>
      <c r="R58" s="31" t="s">
        <v>316</v>
      </c>
      <c r="S58" s="32" t="s">
        <v>315</v>
      </c>
    </row>
    <row r="59">
      <c r="A59" s="42"/>
      <c r="B59" s="42"/>
      <c r="E59" s="25"/>
      <c r="F59" s="25"/>
      <c r="I59" s="29"/>
      <c r="J59" s="29"/>
      <c r="Q59" s="44">
        <f t="shared" si="2"/>
        <v>10106</v>
      </c>
      <c r="R59" s="31" t="s">
        <v>317</v>
      </c>
      <c r="S59" s="32" t="s">
        <v>315</v>
      </c>
    </row>
    <row r="60">
      <c r="A60" s="42"/>
      <c r="B60" s="42"/>
      <c r="E60" s="25"/>
      <c r="F60" s="25"/>
      <c r="I60" s="29"/>
      <c r="J60" s="29"/>
      <c r="Q60" s="44">
        <f t="shared" si="2"/>
        <v>10107</v>
      </c>
      <c r="R60" s="31" t="s">
        <v>318</v>
      </c>
      <c r="S60" s="32" t="s">
        <v>319</v>
      </c>
    </row>
    <row r="61">
      <c r="A61" s="42"/>
      <c r="B61" s="42"/>
      <c r="E61" s="25"/>
      <c r="F61" s="25"/>
      <c r="I61" s="29"/>
      <c r="J61" s="29"/>
      <c r="Q61" s="44">
        <f t="shared" si="2"/>
        <v>10108</v>
      </c>
      <c r="R61" s="31" t="s">
        <v>320</v>
      </c>
      <c r="S61" s="32" t="s">
        <v>319</v>
      </c>
    </row>
    <row r="62">
      <c r="A62" s="42"/>
      <c r="B62" s="42"/>
      <c r="E62" s="25"/>
      <c r="F62" s="25"/>
      <c r="I62" s="29"/>
      <c r="J62" s="29"/>
      <c r="Q62" s="44">
        <f t="shared" si="2"/>
        <v>10109</v>
      </c>
      <c r="R62" s="31" t="s">
        <v>321</v>
      </c>
      <c r="S62" s="32" t="s">
        <v>319</v>
      </c>
    </row>
    <row r="63">
      <c r="A63" s="42"/>
      <c r="B63" s="42"/>
      <c r="E63" s="25"/>
      <c r="F63" s="25"/>
      <c r="I63" s="29"/>
      <c r="J63" s="29"/>
      <c r="Q63" s="44">
        <f t="shared" si="2"/>
        <v>10110</v>
      </c>
      <c r="R63" s="31" t="s">
        <v>322</v>
      </c>
      <c r="S63" s="32" t="s">
        <v>323</v>
      </c>
    </row>
    <row r="64">
      <c r="A64" s="42"/>
      <c r="B64" s="42"/>
      <c r="E64" s="25"/>
      <c r="F64" s="25"/>
      <c r="I64" s="29"/>
      <c r="J64" s="29"/>
      <c r="Q64" s="44">
        <f t="shared" si="2"/>
        <v>10111</v>
      </c>
      <c r="R64" s="31" t="s">
        <v>324</v>
      </c>
      <c r="S64" s="32" t="s">
        <v>323</v>
      </c>
    </row>
    <row r="65">
      <c r="A65" s="42"/>
      <c r="B65" s="42"/>
      <c r="E65" s="25"/>
      <c r="F65" s="25"/>
      <c r="I65" s="29"/>
      <c r="J65" s="29"/>
      <c r="Q65" s="44">
        <f t="shared" si="2"/>
        <v>10112</v>
      </c>
      <c r="R65" s="31" t="s">
        <v>325</v>
      </c>
      <c r="S65" s="32" t="s">
        <v>323</v>
      </c>
    </row>
    <row r="66">
      <c r="A66" s="42"/>
      <c r="B66" s="42"/>
      <c r="E66" s="25"/>
      <c r="F66" s="25"/>
      <c r="I66" s="29"/>
      <c r="J66" s="29"/>
      <c r="Q66" s="44">
        <f t="shared" si="2"/>
        <v>10113</v>
      </c>
      <c r="R66" s="31" t="s">
        <v>326</v>
      </c>
      <c r="S66" s="32" t="s">
        <v>327</v>
      </c>
    </row>
    <row r="67">
      <c r="A67" s="42"/>
      <c r="B67" s="42"/>
      <c r="E67" s="25"/>
      <c r="F67" s="25"/>
      <c r="I67" s="29"/>
      <c r="J67" s="29"/>
      <c r="Q67" s="44">
        <f t="shared" si="2"/>
        <v>10114</v>
      </c>
      <c r="R67" s="31" t="s">
        <v>328</v>
      </c>
      <c r="S67" s="32" t="s">
        <v>329</v>
      </c>
    </row>
    <row r="68">
      <c r="A68" s="42"/>
      <c r="B68" s="42"/>
      <c r="E68" s="25"/>
      <c r="F68" s="25"/>
      <c r="I68" s="29"/>
      <c r="J68" s="29"/>
      <c r="Q68" s="44">
        <f t="shared" si="2"/>
        <v>10115</v>
      </c>
      <c r="R68" s="31" t="s">
        <v>330</v>
      </c>
      <c r="S68" s="32" t="s">
        <v>331</v>
      </c>
    </row>
    <row r="69">
      <c r="A69" s="42"/>
      <c r="B69" s="42"/>
      <c r="E69" s="25"/>
      <c r="F69" s="25"/>
      <c r="I69" s="29"/>
      <c r="J69" s="29"/>
      <c r="Q69" s="44">
        <f t="shared" si="2"/>
        <v>10116</v>
      </c>
      <c r="R69" s="31" t="s">
        <v>332</v>
      </c>
      <c r="S69" s="32" t="s">
        <v>333</v>
      </c>
    </row>
    <row r="70">
      <c r="A70" s="42"/>
      <c r="B70" s="42"/>
      <c r="E70" s="25"/>
      <c r="F70" s="25"/>
      <c r="I70" s="29"/>
      <c r="J70" s="29"/>
      <c r="Q70" s="44">
        <f t="shared" si="2"/>
        <v>10117</v>
      </c>
      <c r="R70" s="31" t="s">
        <v>334</v>
      </c>
      <c r="S70" s="32" t="s">
        <v>333</v>
      </c>
    </row>
    <row r="71">
      <c r="A71" s="42"/>
      <c r="B71" s="42"/>
      <c r="E71" s="25"/>
      <c r="F71" s="25"/>
      <c r="I71" s="29"/>
      <c r="J71" s="29"/>
      <c r="Q71" s="44">
        <f t="shared" si="2"/>
        <v>10118</v>
      </c>
      <c r="R71" s="31" t="s">
        <v>335</v>
      </c>
      <c r="S71" s="32" t="s">
        <v>333</v>
      </c>
    </row>
    <row r="72">
      <c r="A72" s="42"/>
      <c r="B72" s="42"/>
      <c r="E72" s="25"/>
      <c r="F72" s="25"/>
      <c r="I72" s="29"/>
      <c r="J72" s="29"/>
      <c r="Q72" s="44">
        <f t="shared" si="2"/>
        <v>10119</v>
      </c>
      <c r="R72" s="31" t="s">
        <v>336</v>
      </c>
      <c r="S72" s="32" t="s">
        <v>337</v>
      </c>
    </row>
    <row r="73">
      <c r="A73" s="42"/>
      <c r="B73" s="42"/>
      <c r="E73" s="25"/>
      <c r="F73" s="25"/>
      <c r="I73" s="29"/>
      <c r="J73" s="29"/>
      <c r="Q73" s="44">
        <f t="shared" si="2"/>
        <v>10120</v>
      </c>
      <c r="R73" s="31" t="s">
        <v>338</v>
      </c>
      <c r="S73" s="32" t="s">
        <v>337</v>
      </c>
    </row>
    <row r="74">
      <c r="A74" s="42"/>
      <c r="B74" s="42"/>
      <c r="E74" s="25"/>
      <c r="F74" s="25"/>
      <c r="I74" s="29"/>
      <c r="J74" s="29"/>
      <c r="Q74" s="44">
        <f t="shared" si="2"/>
        <v>10121</v>
      </c>
      <c r="R74" s="31" t="s">
        <v>339</v>
      </c>
      <c r="S74" s="32" t="s">
        <v>337</v>
      </c>
    </row>
    <row r="75">
      <c r="A75" s="42"/>
      <c r="B75" s="42"/>
      <c r="E75" s="25"/>
      <c r="F75" s="25"/>
      <c r="I75" s="29"/>
      <c r="J75" s="29"/>
      <c r="Q75" s="44">
        <f t="shared" si="2"/>
        <v>10122</v>
      </c>
      <c r="R75" s="31" t="s">
        <v>340</v>
      </c>
      <c r="S75" s="32" t="s">
        <v>341</v>
      </c>
    </row>
    <row r="76">
      <c r="A76" s="42"/>
      <c r="B76" s="42"/>
      <c r="E76" s="25"/>
      <c r="F76" s="25"/>
      <c r="I76" s="29"/>
      <c r="J76" s="29"/>
      <c r="Q76" s="44">
        <f t="shared" si="2"/>
        <v>10123</v>
      </c>
      <c r="R76" s="31" t="s">
        <v>342</v>
      </c>
      <c r="S76" s="32" t="s">
        <v>343</v>
      </c>
    </row>
    <row r="77">
      <c r="A77" s="42"/>
      <c r="B77" s="42"/>
      <c r="E77" s="25"/>
      <c r="F77" s="25"/>
      <c r="I77" s="29"/>
      <c r="J77" s="29"/>
      <c r="Q77" s="45">
        <v>10201.0</v>
      </c>
      <c r="R77" s="31" t="s">
        <v>344</v>
      </c>
      <c r="S77" s="32" t="s">
        <v>345</v>
      </c>
    </row>
    <row r="78">
      <c r="A78" s="42"/>
      <c r="B78" s="42"/>
      <c r="E78" s="25"/>
      <c r="F78" s="25"/>
      <c r="I78" s="29"/>
      <c r="J78" s="29"/>
      <c r="Q78" s="46">
        <f t="shared" ref="Q78:Q102" si="3">Q77+1</f>
        <v>10202</v>
      </c>
      <c r="R78" s="31" t="s">
        <v>346</v>
      </c>
      <c r="S78" s="32" t="s">
        <v>345</v>
      </c>
    </row>
    <row r="79">
      <c r="A79" s="42"/>
      <c r="B79" s="42"/>
      <c r="E79" s="25"/>
      <c r="F79" s="25"/>
      <c r="I79" s="29"/>
      <c r="J79" s="29"/>
      <c r="Q79" s="46">
        <f t="shared" si="3"/>
        <v>10203</v>
      </c>
      <c r="R79" s="31" t="s">
        <v>347</v>
      </c>
      <c r="S79" s="32" t="s">
        <v>345</v>
      </c>
    </row>
    <row r="80">
      <c r="A80" s="42"/>
      <c r="B80" s="42"/>
      <c r="E80" s="25"/>
      <c r="F80" s="25"/>
      <c r="I80" s="29"/>
      <c r="J80" s="29"/>
      <c r="Q80" s="46">
        <f t="shared" si="3"/>
        <v>10204</v>
      </c>
      <c r="R80" s="31" t="s">
        <v>348</v>
      </c>
      <c r="S80" s="32" t="s">
        <v>345</v>
      </c>
    </row>
    <row r="81">
      <c r="A81" s="42"/>
      <c r="B81" s="42"/>
      <c r="E81" s="25"/>
      <c r="F81" s="25"/>
      <c r="I81" s="29"/>
      <c r="J81" s="29"/>
      <c r="Q81" s="46">
        <f t="shared" si="3"/>
        <v>10205</v>
      </c>
      <c r="R81" s="31" t="s">
        <v>349</v>
      </c>
      <c r="S81" s="32" t="s">
        <v>350</v>
      </c>
    </row>
    <row r="82">
      <c r="A82" s="42"/>
      <c r="B82" s="42"/>
      <c r="E82" s="25"/>
      <c r="F82" s="25"/>
      <c r="I82" s="29"/>
      <c r="J82" s="29"/>
      <c r="Q82" s="46">
        <f t="shared" si="3"/>
        <v>10206</v>
      </c>
      <c r="R82" s="31" t="s">
        <v>351</v>
      </c>
      <c r="S82" s="32" t="s">
        <v>350</v>
      </c>
    </row>
    <row r="83">
      <c r="A83" s="42"/>
      <c r="B83" s="42"/>
      <c r="E83" s="25"/>
      <c r="F83" s="25"/>
      <c r="I83" s="29"/>
      <c r="J83" s="29"/>
      <c r="Q83" s="46">
        <f t="shared" si="3"/>
        <v>10207</v>
      </c>
      <c r="R83" s="31" t="s">
        <v>352</v>
      </c>
      <c r="S83" s="32" t="s">
        <v>345</v>
      </c>
    </row>
    <row r="84">
      <c r="A84" s="42"/>
      <c r="B84" s="42"/>
      <c r="E84" s="25"/>
      <c r="F84" s="25"/>
      <c r="I84" s="29"/>
      <c r="J84" s="29"/>
      <c r="Q84" s="46">
        <f t="shared" si="3"/>
        <v>10208</v>
      </c>
      <c r="R84" s="31" t="s">
        <v>353</v>
      </c>
      <c r="S84" s="32" t="s">
        <v>345</v>
      </c>
    </row>
    <row r="85">
      <c r="A85" s="42"/>
      <c r="B85" s="42"/>
      <c r="E85" s="25"/>
      <c r="F85" s="25"/>
      <c r="I85" s="29"/>
      <c r="J85" s="29"/>
      <c r="Q85" s="46">
        <f t="shared" si="3"/>
        <v>10209</v>
      </c>
      <c r="R85" s="31" t="s">
        <v>354</v>
      </c>
      <c r="S85" s="32" t="s">
        <v>350</v>
      </c>
    </row>
    <row r="86">
      <c r="A86" s="42"/>
      <c r="B86" s="42"/>
      <c r="E86" s="25"/>
      <c r="F86" s="25"/>
      <c r="I86" s="29"/>
      <c r="J86" s="29"/>
      <c r="Q86" s="46">
        <f t="shared" si="3"/>
        <v>10210</v>
      </c>
      <c r="R86" s="31" t="s">
        <v>355</v>
      </c>
      <c r="S86" s="32" t="s">
        <v>350</v>
      </c>
    </row>
    <row r="87">
      <c r="A87" s="42"/>
      <c r="B87" s="42"/>
      <c r="E87" s="25"/>
      <c r="F87" s="25"/>
      <c r="I87" s="29"/>
      <c r="J87" s="29"/>
      <c r="Q87" s="46">
        <f t="shared" si="3"/>
        <v>10211</v>
      </c>
      <c r="R87" s="31" t="s">
        <v>356</v>
      </c>
      <c r="S87" s="32" t="s">
        <v>357</v>
      </c>
    </row>
    <row r="88">
      <c r="A88" s="42"/>
      <c r="B88" s="42"/>
      <c r="E88" s="25"/>
      <c r="F88" s="25"/>
      <c r="I88" s="29"/>
      <c r="J88" s="29"/>
      <c r="Q88" s="46">
        <f t="shared" si="3"/>
        <v>10212</v>
      </c>
      <c r="R88" s="31" t="s">
        <v>358</v>
      </c>
      <c r="S88" s="32" t="s">
        <v>357</v>
      </c>
    </row>
    <row r="89">
      <c r="A89" s="42"/>
      <c r="B89" s="42"/>
      <c r="E89" s="25"/>
      <c r="F89" s="25"/>
      <c r="I89" s="29"/>
      <c r="J89" s="29"/>
      <c r="Q89" s="46">
        <f t="shared" si="3"/>
        <v>10213</v>
      </c>
      <c r="R89" s="31" t="s">
        <v>359</v>
      </c>
      <c r="S89" s="32" t="s">
        <v>357</v>
      </c>
    </row>
    <row r="90">
      <c r="A90" s="42"/>
      <c r="B90" s="42"/>
      <c r="E90" s="25"/>
      <c r="F90" s="25"/>
      <c r="I90" s="29"/>
      <c r="J90" s="29"/>
      <c r="Q90" s="46">
        <f t="shared" si="3"/>
        <v>10214</v>
      </c>
      <c r="R90" s="31" t="s">
        <v>360</v>
      </c>
      <c r="S90" s="32" t="s">
        <v>357</v>
      </c>
    </row>
    <row r="91">
      <c r="A91" s="42"/>
      <c r="B91" s="42"/>
      <c r="E91" s="25"/>
      <c r="F91" s="25"/>
      <c r="I91" s="29"/>
      <c r="J91" s="29"/>
      <c r="Q91" s="46">
        <f t="shared" si="3"/>
        <v>10215</v>
      </c>
      <c r="R91" s="31" t="s">
        <v>361</v>
      </c>
      <c r="S91" s="32" t="s">
        <v>357</v>
      </c>
    </row>
    <row r="92">
      <c r="A92" s="42"/>
      <c r="B92" s="42"/>
      <c r="E92" s="25"/>
      <c r="F92" s="25"/>
      <c r="I92" s="29"/>
      <c r="J92" s="29"/>
      <c r="Q92" s="46">
        <f t="shared" si="3"/>
        <v>10216</v>
      </c>
      <c r="R92" s="31" t="s">
        <v>362</v>
      </c>
      <c r="S92" s="32" t="s">
        <v>357</v>
      </c>
    </row>
    <row r="93">
      <c r="A93" s="42"/>
      <c r="B93" s="42"/>
      <c r="E93" s="25"/>
      <c r="F93" s="25"/>
      <c r="I93" s="29"/>
      <c r="J93" s="29"/>
      <c r="Q93" s="46">
        <f t="shared" si="3"/>
        <v>10217</v>
      </c>
      <c r="R93" s="31" t="s">
        <v>363</v>
      </c>
      <c r="S93" s="32" t="s">
        <v>357</v>
      </c>
    </row>
    <row r="94">
      <c r="A94" s="42"/>
      <c r="B94" s="42"/>
      <c r="E94" s="25"/>
      <c r="F94" s="25"/>
      <c r="I94" s="29"/>
      <c r="J94" s="29"/>
      <c r="Q94" s="46">
        <f t="shared" si="3"/>
        <v>10218</v>
      </c>
      <c r="R94" s="31" t="s">
        <v>364</v>
      </c>
      <c r="S94" s="32" t="s">
        <v>357</v>
      </c>
    </row>
    <row r="95">
      <c r="A95" s="42"/>
      <c r="B95" s="42"/>
      <c r="E95" s="25"/>
      <c r="F95" s="25"/>
      <c r="I95" s="29"/>
      <c r="J95" s="29"/>
      <c r="Q95" s="46">
        <f t="shared" si="3"/>
        <v>10219</v>
      </c>
      <c r="R95" s="31" t="s">
        <v>365</v>
      </c>
      <c r="S95" s="32" t="s">
        <v>366</v>
      </c>
    </row>
    <row r="96">
      <c r="A96" s="42"/>
      <c r="B96" s="42"/>
      <c r="E96" s="25"/>
      <c r="F96" s="25"/>
      <c r="I96" s="29"/>
      <c r="J96" s="29"/>
      <c r="Q96" s="46">
        <f t="shared" si="3"/>
        <v>10220</v>
      </c>
      <c r="R96" s="31" t="s">
        <v>367</v>
      </c>
      <c r="S96" s="32" t="s">
        <v>366</v>
      </c>
    </row>
    <row r="97">
      <c r="A97" s="42"/>
      <c r="B97" s="42"/>
      <c r="E97" s="25"/>
      <c r="F97" s="25"/>
      <c r="I97" s="29"/>
      <c r="J97" s="29"/>
      <c r="Q97" s="46">
        <f t="shared" si="3"/>
        <v>10221</v>
      </c>
      <c r="R97" s="31" t="s">
        <v>368</v>
      </c>
      <c r="S97" s="32" t="s">
        <v>366</v>
      </c>
    </row>
    <row r="98">
      <c r="A98" s="42"/>
      <c r="B98" s="42"/>
      <c r="E98" s="25"/>
      <c r="F98" s="25"/>
      <c r="I98" s="29"/>
      <c r="J98" s="29"/>
      <c r="Q98" s="46">
        <f t="shared" si="3"/>
        <v>10222</v>
      </c>
      <c r="R98" s="31" t="s">
        <v>369</v>
      </c>
      <c r="S98" s="32" t="s">
        <v>366</v>
      </c>
    </row>
    <row r="99">
      <c r="Q99" s="46">
        <f t="shared" si="3"/>
        <v>10223</v>
      </c>
      <c r="R99" s="31" t="s">
        <v>370</v>
      </c>
      <c r="S99" s="32" t="s">
        <v>366</v>
      </c>
    </row>
    <row r="100">
      <c r="Q100" s="46">
        <f t="shared" si="3"/>
        <v>10224</v>
      </c>
      <c r="R100" s="31" t="s">
        <v>371</v>
      </c>
      <c r="S100" s="32" t="s">
        <v>366</v>
      </c>
    </row>
    <row r="101">
      <c r="Q101" s="46">
        <f t="shared" si="3"/>
        <v>10225</v>
      </c>
      <c r="R101" s="31" t="s">
        <v>372</v>
      </c>
      <c r="S101" s="32" t="s">
        <v>357</v>
      </c>
    </row>
    <row r="102">
      <c r="Q102" s="46">
        <f t="shared" si="3"/>
        <v>10226</v>
      </c>
      <c r="R102" s="31" t="s">
        <v>373</v>
      </c>
      <c r="S102" s="32" t="s">
        <v>357</v>
      </c>
    </row>
    <row r="103">
      <c r="Q103" s="43">
        <v>10301.0</v>
      </c>
      <c r="R103" s="31" t="s">
        <v>374</v>
      </c>
      <c r="S103" s="32" t="s">
        <v>375</v>
      </c>
    </row>
    <row r="104">
      <c r="Q104" s="44">
        <f t="shared" ref="Q104:Q111" si="4">Q103+1</f>
        <v>10302</v>
      </c>
      <c r="R104" s="31" t="s">
        <v>376</v>
      </c>
      <c r="S104" s="32" t="s">
        <v>375</v>
      </c>
    </row>
    <row r="105">
      <c r="Q105" s="44">
        <f t="shared" si="4"/>
        <v>10303</v>
      </c>
      <c r="R105" s="31" t="s">
        <v>377</v>
      </c>
      <c r="S105" s="32" t="s">
        <v>375</v>
      </c>
    </row>
    <row r="106">
      <c r="Q106" s="44">
        <f t="shared" si="4"/>
        <v>10304</v>
      </c>
      <c r="R106" s="31" t="s">
        <v>378</v>
      </c>
      <c r="S106" s="32" t="s">
        <v>375</v>
      </c>
    </row>
    <row r="107">
      <c r="Q107" s="44">
        <f t="shared" si="4"/>
        <v>10305</v>
      </c>
      <c r="R107" s="31" t="s">
        <v>379</v>
      </c>
      <c r="S107" s="32" t="s">
        <v>375</v>
      </c>
    </row>
    <row r="108">
      <c r="Q108" s="44">
        <f t="shared" si="4"/>
        <v>10306</v>
      </c>
      <c r="R108" s="31" t="s">
        <v>380</v>
      </c>
      <c r="S108" s="32" t="s">
        <v>375</v>
      </c>
    </row>
    <row r="109">
      <c r="Q109" s="44">
        <f t="shared" si="4"/>
        <v>10307</v>
      </c>
      <c r="R109" s="31" t="s">
        <v>381</v>
      </c>
      <c r="S109" s="32" t="s">
        <v>375</v>
      </c>
    </row>
    <row r="110">
      <c r="Q110" s="44">
        <f t="shared" si="4"/>
        <v>10308</v>
      </c>
      <c r="R110" s="31" t="s">
        <v>382</v>
      </c>
      <c r="S110" s="32" t="s">
        <v>383</v>
      </c>
    </row>
    <row r="111">
      <c r="Q111" s="44">
        <f t="shared" si="4"/>
        <v>10309</v>
      </c>
      <c r="R111" s="31" t="s">
        <v>384</v>
      </c>
      <c r="S111" s="32" t="s">
        <v>383</v>
      </c>
    </row>
    <row r="112">
      <c r="Q112" s="47">
        <v>10401.0</v>
      </c>
      <c r="R112" s="31" t="s">
        <v>385</v>
      </c>
      <c r="S112" s="32" t="s">
        <v>386</v>
      </c>
    </row>
    <row r="113">
      <c r="Q113" s="48">
        <f t="shared" ref="Q113:Q119" si="5">Q112+1</f>
        <v>10402</v>
      </c>
      <c r="R113" s="31" t="s">
        <v>387</v>
      </c>
      <c r="S113" s="32" t="s">
        <v>388</v>
      </c>
    </row>
    <row r="114">
      <c r="Q114" s="48">
        <f t="shared" si="5"/>
        <v>10403</v>
      </c>
      <c r="R114" s="31" t="s">
        <v>389</v>
      </c>
      <c r="S114" s="32" t="s">
        <v>390</v>
      </c>
    </row>
    <row r="115">
      <c r="Q115" s="48">
        <f t="shared" si="5"/>
        <v>10404</v>
      </c>
      <c r="R115" s="31" t="s">
        <v>391</v>
      </c>
      <c r="S115" s="32" t="s">
        <v>392</v>
      </c>
    </row>
    <row r="116">
      <c r="Q116" s="48">
        <f t="shared" si="5"/>
        <v>10405</v>
      </c>
      <c r="R116" s="31" t="s">
        <v>393</v>
      </c>
      <c r="S116" s="32" t="s">
        <v>394</v>
      </c>
    </row>
    <row r="117">
      <c r="Q117" s="48">
        <f t="shared" si="5"/>
        <v>10406</v>
      </c>
      <c r="R117" s="31" t="s">
        <v>395</v>
      </c>
      <c r="S117" s="32" t="s">
        <v>388</v>
      </c>
    </row>
    <row r="118">
      <c r="Q118" s="48">
        <f t="shared" si="5"/>
        <v>10407</v>
      </c>
      <c r="R118" s="31" t="s">
        <v>396</v>
      </c>
      <c r="S118" s="32" t="s">
        <v>397</v>
      </c>
    </row>
    <row r="119">
      <c r="Q119" s="48">
        <f t="shared" si="5"/>
        <v>10408</v>
      </c>
      <c r="R119" s="31" t="s">
        <v>398</v>
      </c>
      <c r="S119" s="32" t="s">
        <v>399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23.0"/>
    <col customWidth="1" min="4" max="6" width="16.71"/>
  </cols>
  <sheetData>
    <row r="1">
      <c r="A1" s="16" t="s">
        <v>400</v>
      </c>
    </row>
    <row r="2">
      <c r="A2" s="16" t="s">
        <v>401</v>
      </c>
    </row>
    <row r="3">
      <c r="A3" s="16" t="s">
        <v>402</v>
      </c>
    </row>
    <row r="6">
      <c r="A6" s="49" t="s">
        <v>0</v>
      </c>
      <c r="B6" s="49" t="s">
        <v>403</v>
      </c>
      <c r="C6" s="49" t="s">
        <v>404</v>
      </c>
      <c r="D6" s="50" t="s">
        <v>405</v>
      </c>
      <c r="E6" s="50" t="s">
        <v>406</v>
      </c>
      <c r="F6" s="50" t="s">
        <v>407</v>
      </c>
      <c r="G6" s="50" t="s">
        <v>407</v>
      </c>
      <c r="H6" s="50" t="s">
        <v>407</v>
      </c>
    </row>
    <row r="7">
      <c r="A7" s="4">
        <v>20001.0</v>
      </c>
      <c r="B7" s="16" t="s">
        <v>12</v>
      </c>
      <c r="C7" s="16" t="s">
        <v>345</v>
      </c>
      <c r="D7" s="16">
        <v>3.0</v>
      </c>
      <c r="E7" s="16">
        <v>6.0</v>
      </c>
      <c r="F7" s="16">
        <v>9.0</v>
      </c>
    </row>
    <row r="8">
      <c r="A8" s="20">
        <f t="shared" ref="A8:A52" si="1">A7+1</f>
        <v>20002</v>
      </c>
      <c r="B8" s="16" t="s">
        <v>16</v>
      </c>
      <c r="C8" s="16" t="s">
        <v>345</v>
      </c>
      <c r="D8" s="16">
        <v>5.0</v>
      </c>
      <c r="E8" s="16">
        <v>10.0</v>
      </c>
      <c r="F8" s="16">
        <v>15.0</v>
      </c>
    </row>
    <row r="9">
      <c r="A9" s="20">
        <f t="shared" si="1"/>
        <v>20003</v>
      </c>
      <c r="B9" s="16" t="s">
        <v>17</v>
      </c>
      <c r="C9" s="16" t="s">
        <v>345</v>
      </c>
      <c r="D9" s="16">
        <v>10.0</v>
      </c>
      <c r="E9" s="16">
        <v>20.0</v>
      </c>
      <c r="F9" s="16">
        <v>30.0</v>
      </c>
    </row>
    <row r="10">
      <c r="A10" s="20">
        <f t="shared" si="1"/>
        <v>20004</v>
      </c>
      <c r="B10" s="16" t="s">
        <v>408</v>
      </c>
      <c r="C10" s="16" t="s">
        <v>409</v>
      </c>
      <c r="D10" s="16" t="s">
        <v>410</v>
      </c>
    </row>
    <row r="11">
      <c r="A11" s="20">
        <f t="shared" si="1"/>
        <v>20005</v>
      </c>
      <c r="B11" s="16" t="s">
        <v>411</v>
      </c>
      <c r="C11" s="16" t="s">
        <v>409</v>
      </c>
      <c r="D11" s="16" t="s">
        <v>410</v>
      </c>
    </row>
    <row r="12">
      <c r="A12" s="20">
        <f t="shared" si="1"/>
        <v>20006</v>
      </c>
      <c r="B12" s="16" t="s">
        <v>412</v>
      </c>
      <c r="C12" s="16" t="s">
        <v>413</v>
      </c>
      <c r="D12" s="16" t="s">
        <v>410</v>
      </c>
    </row>
    <row r="13">
      <c r="A13" s="20">
        <f t="shared" si="1"/>
        <v>20007</v>
      </c>
      <c r="B13" s="16" t="s">
        <v>26</v>
      </c>
      <c r="C13" s="16" t="s">
        <v>383</v>
      </c>
    </row>
    <row r="14">
      <c r="A14" s="20">
        <f t="shared" si="1"/>
        <v>20008</v>
      </c>
      <c r="B14" s="16" t="s">
        <v>30</v>
      </c>
      <c r="C14" s="16" t="s">
        <v>383</v>
      </c>
    </row>
    <row r="15">
      <c r="A15" s="20">
        <f t="shared" si="1"/>
        <v>20009</v>
      </c>
      <c r="B15" s="16" t="s">
        <v>31</v>
      </c>
      <c r="C15" s="16" t="s">
        <v>383</v>
      </c>
    </row>
    <row r="16">
      <c r="A16" s="20">
        <f t="shared" si="1"/>
        <v>20010</v>
      </c>
      <c r="B16" s="16" t="s">
        <v>34</v>
      </c>
      <c r="C16" s="51" t="s">
        <v>414</v>
      </c>
      <c r="D16" s="16" t="s">
        <v>410</v>
      </c>
    </row>
    <row r="17">
      <c r="A17" s="20">
        <f t="shared" si="1"/>
        <v>20011</v>
      </c>
      <c r="B17" s="16" t="s">
        <v>36</v>
      </c>
      <c r="C17" s="51" t="s">
        <v>415</v>
      </c>
      <c r="D17" s="16" t="s">
        <v>410</v>
      </c>
    </row>
    <row r="18">
      <c r="A18" s="20">
        <f t="shared" si="1"/>
        <v>20012</v>
      </c>
      <c r="B18" s="16" t="s">
        <v>37</v>
      </c>
      <c r="C18" s="51" t="s">
        <v>416</v>
      </c>
      <c r="D18" s="16" t="s">
        <v>410</v>
      </c>
    </row>
    <row r="19">
      <c r="A19" s="20">
        <f t="shared" si="1"/>
        <v>20013</v>
      </c>
      <c r="B19" s="16" t="s">
        <v>40</v>
      </c>
      <c r="C19" s="16" t="s">
        <v>197</v>
      </c>
      <c r="D19" s="16">
        <v>2.0</v>
      </c>
      <c r="E19" s="16">
        <v>4.0</v>
      </c>
      <c r="F19" s="16">
        <v>7.0</v>
      </c>
    </row>
    <row r="20">
      <c r="A20" s="20">
        <f t="shared" si="1"/>
        <v>20014</v>
      </c>
      <c r="B20" s="16" t="s">
        <v>44</v>
      </c>
      <c r="C20" s="16" t="s">
        <v>197</v>
      </c>
      <c r="D20" s="16">
        <v>3.0</v>
      </c>
      <c r="E20" s="16">
        <v>6.0</v>
      </c>
      <c r="F20" s="16">
        <v>10.0</v>
      </c>
    </row>
    <row r="21">
      <c r="A21" s="20">
        <f t="shared" si="1"/>
        <v>20015</v>
      </c>
      <c r="B21" s="16" t="s">
        <v>45</v>
      </c>
      <c r="C21" s="16" t="s">
        <v>197</v>
      </c>
      <c r="D21" s="16">
        <v>5.0</v>
      </c>
      <c r="E21" s="16">
        <v>10.0</v>
      </c>
      <c r="F21" s="16">
        <v>15.0</v>
      </c>
    </row>
    <row r="22">
      <c r="A22" s="20">
        <f t="shared" si="1"/>
        <v>20016</v>
      </c>
      <c r="B22" s="16" t="s">
        <v>48</v>
      </c>
      <c r="C22" s="16" t="s">
        <v>417</v>
      </c>
      <c r="D22" s="16" t="s">
        <v>410</v>
      </c>
    </row>
    <row r="23">
      <c r="A23" s="20">
        <f t="shared" si="1"/>
        <v>20017</v>
      </c>
      <c r="B23" s="16" t="s">
        <v>50</v>
      </c>
      <c r="C23" s="16" t="s">
        <v>418</v>
      </c>
      <c r="D23" s="16" t="s">
        <v>410</v>
      </c>
    </row>
    <row r="24">
      <c r="A24" s="20">
        <f t="shared" si="1"/>
        <v>20018</v>
      </c>
      <c r="B24" s="52" t="s">
        <v>51</v>
      </c>
      <c r="C24" s="52" t="s">
        <v>419</v>
      </c>
      <c r="D24" s="53"/>
      <c r="E24" s="53"/>
      <c r="F24" s="53"/>
      <c r="G24" s="53"/>
      <c r="H24" s="53"/>
    </row>
    <row r="25">
      <c r="A25" s="20">
        <f t="shared" si="1"/>
        <v>20019</v>
      </c>
      <c r="B25" s="16" t="s">
        <v>54</v>
      </c>
      <c r="C25" s="16" t="s">
        <v>366</v>
      </c>
      <c r="D25" s="16">
        <v>3.0</v>
      </c>
      <c r="E25" s="16">
        <v>6.0</v>
      </c>
      <c r="F25" s="16">
        <v>9.0</v>
      </c>
    </row>
    <row r="26">
      <c r="A26" s="20">
        <f t="shared" si="1"/>
        <v>20020</v>
      </c>
      <c r="B26" s="16" t="s">
        <v>58</v>
      </c>
      <c r="C26" s="16" t="s">
        <v>366</v>
      </c>
      <c r="D26" s="16">
        <v>5.0</v>
      </c>
      <c r="E26" s="16">
        <v>10.0</v>
      </c>
      <c r="F26" s="16">
        <v>15.0</v>
      </c>
    </row>
    <row r="27">
      <c r="A27" s="20">
        <f t="shared" si="1"/>
        <v>20021</v>
      </c>
      <c r="B27" s="16" t="s">
        <v>59</v>
      </c>
      <c r="C27" s="16" t="s">
        <v>366</v>
      </c>
      <c r="D27" s="16">
        <v>10.0</v>
      </c>
      <c r="E27" s="16">
        <v>20.0</v>
      </c>
      <c r="F27" s="16">
        <v>30.0</v>
      </c>
    </row>
    <row r="28">
      <c r="A28" s="20">
        <f t="shared" si="1"/>
        <v>20022</v>
      </c>
      <c r="B28" s="16" t="s">
        <v>62</v>
      </c>
      <c r="C28" s="16" t="s">
        <v>420</v>
      </c>
      <c r="D28" s="16" t="s">
        <v>410</v>
      </c>
    </row>
    <row r="29">
      <c r="A29" s="20">
        <f t="shared" si="1"/>
        <v>20023</v>
      </c>
      <c r="B29" s="16" t="s">
        <v>62</v>
      </c>
      <c r="C29" s="16" t="s">
        <v>421</v>
      </c>
      <c r="D29" s="16" t="s">
        <v>410</v>
      </c>
    </row>
    <row r="30">
      <c r="A30" s="20">
        <f t="shared" si="1"/>
        <v>20024</v>
      </c>
      <c r="B30" s="16" t="s">
        <v>62</v>
      </c>
      <c r="C30" s="16" t="s">
        <v>422</v>
      </c>
      <c r="D30" s="16" t="s">
        <v>410</v>
      </c>
    </row>
    <row r="31">
      <c r="A31" s="20">
        <f t="shared" si="1"/>
        <v>20025</v>
      </c>
      <c r="B31" s="16" t="s">
        <v>68</v>
      </c>
      <c r="C31" s="16" t="s">
        <v>210</v>
      </c>
      <c r="D31" s="16">
        <v>2.0</v>
      </c>
      <c r="E31" s="16">
        <v>4.0</v>
      </c>
      <c r="F31" s="16">
        <v>7.0</v>
      </c>
    </row>
    <row r="32">
      <c r="A32" s="20">
        <f t="shared" si="1"/>
        <v>20026</v>
      </c>
      <c r="B32" s="16" t="s">
        <v>70</v>
      </c>
      <c r="C32" s="16" t="s">
        <v>210</v>
      </c>
      <c r="D32" s="16">
        <v>3.0</v>
      </c>
      <c r="E32" s="16">
        <v>6.0</v>
      </c>
      <c r="F32" s="16">
        <v>10.0</v>
      </c>
    </row>
    <row r="33">
      <c r="A33" s="20">
        <f t="shared" si="1"/>
        <v>20027</v>
      </c>
      <c r="B33" s="16" t="s">
        <v>71</v>
      </c>
      <c r="C33" s="16" t="s">
        <v>210</v>
      </c>
      <c r="D33" s="16">
        <v>5.0</v>
      </c>
      <c r="E33" s="16">
        <v>10.0</v>
      </c>
      <c r="F33" s="16">
        <v>15.0</v>
      </c>
    </row>
    <row r="34">
      <c r="A34" s="20">
        <f t="shared" si="1"/>
        <v>20028</v>
      </c>
      <c r="B34" s="16" t="s">
        <v>423</v>
      </c>
      <c r="C34" s="16" t="s">
        <v>424</v>
      </c>
      <c r="D34" s="16" t="s">
        <v>410</v>
      </c>
    </row>
    <row r="35">
      <c r="A35" s="20">
        <f t="shared" si="1"/>
        <v>20029</v>
      </c>
      <c r="B35" s="16" t="s">
        <v>425</v>
      </c>
      <c r="C35" s="16" t="s">
        <v>426</v>
      </c>
      <c r="D35" s="16" t="s">
        <v>410</v>
      </c>
    </row>
    <row r="36">
      <c r="A36" s="20">
        <f t="shared" si="1"/>
        <v>20030</v>
      </c>
      <c r="B36" s="52" t="s">
        <v>427</v>
      </c>
      <c r="C36" s="52" t="s">
        <v>419</v>
      </c>
      <c r="D36" s="53"/>
      <c r="E36" s="53"/>
      <c r="F36" s="53"/>
      <c r="G36" s="53"/>
      <c r="H36" s="53"/>
    </row>
    <row r="37">
      <c r="A37" s="20">
        <f t="shared" si="1"/>
        <v>20031</v>
      </c>
      <c r="B37" s="16" t="s">
        <v>80</v>
      </c>
      <c r="C37" s="16" t="s">
        <v>219</v>
      </c>
      <c r="D37" s="16">
        <v>2.0</v>
      </c>
      <c r="E37" s="16">
        <v>4.0</v>
      </c>
      <c r="F37" s="16">
        <v>7.0</v>
      </c>
    </row>
    <row r="38">
      <c r="A38" s="20">
        <f t="shared" si="1"/>
        <v>20032</v>
      </c>
      <c r="B38" s="16" t="s">
        <v>82</v>
      </c>
      <c r="C38" s="16" t="s">
        <v>219</v>
      </c>
      <c r="D38" s="16">
        <v>3.0</v>
      </c>
      <c r="E38" s="16">
        <v>6.0</v>
      </c>
      <c r="F38" s="16">
        <v>10.0</v>
      </c>
    </row>
    <row r="39">
      <c r="A39" s="20">
        <f t="shared" si="1"/>
        <v>20033</v>
      </c>
      <c r="B39" s="16" t="s">
        <v>83</v>
      </c>
      <c r="C39" s="16" t="s">
        <v>219</v>
      </c>
      <c r="D39" s="16">
        <v>5.0</v>
      </c>
      <c r="E39" s="16">
        <v>10.0</v>
      </c>
      <c r="F39" s="16">
        <v>15.0</v>
      </c>
    </row>
    <row r="40">
      <c r="A40" s="20">
        <f t="shared" si="1"/>
        <v>20034</v>
      </c>
      <c r="B40" s="16" t="s">
        <v>428</v>
      </c>
      <c r="C40" s="16" t="s">
        <v>429</v>
      </c>
      <c r="D40" s="16" t="s">
        <v>410</v>
      </c>
    </row>
    <row r="41">
      <c r="A41" s="20">
        <f t="shared" si="1"/>
        <v>20035</v>
      </c>
      <c r="B41" s="16" t="s">
        <v>430</v>
      </c>
      <c r="C41" s="16" t="s">
        <v>431</v>
      </c>
      <c r="D41" s="16" t="s">
        <v>410</v>
      </c>
    </row>
    <row r="42">
      <c r="A42" s="20">
        <f t="shared" si="1"/>
        <v>20036</v>
      </c>
      <c r="B42" s="52" t="s">
        <v>432</v>
      </c>
      <c r="C42" s="52" t="s">
        <v>419</v>
      </c>
      <c r="D42" s="53"/>
      <c r="E42" s="53"/>
      <c r="F42" s="53"/>
      <c r="G42" s="53"/>
      <c r="H42" s="53"/>
    </row>
    <row r="43">
      <c r="A43" s="20">
        <f t="shared" si="1"/>
        <v>20037</v>
      </c>
      <c r="B43" s="16" t="s">
        <v>433</v>
      </c>
      <c r="C43" s="16" t="s">
        <v>434</v>
      </c>
      <c r="D43" s="54">
        <v>0.01</v>
      </c>
      <c r="E43" s="54">
        <v>0.02</v>
      </c>
      <c r="F43" s="54">
        <v>0.03</v>
      </c>
      <c r="G43" s="54">
        <v>0.05</v>
      </c>
      <c r="H43" s="54">
        <v>0.1</v>
      </c>
    </row>
    <row r="44">
      <c r="A44" s="20">
        <f t="shared" si="1"/>
        <v>20038</v>
      </c>
      <c r="B44" s="52" t="s">
        <v>435</v>
      </c>
      <c r="C44" s="52" t="s">
        <v>419</v>
      </c>
      <c r="D44" s="53"/>
      <c r="E44" s="53"/>
      <c r="F44" s="53"/>
      <c r="G44" s="53"/>
      <c r="H44" s="53"/>
    </row>
    <row r="45">
      <c r="A45" s="20">
        <f t="shared" si="1"/>
        <v>20039</v>
      </c>
      <c r="B45" s="16" t="s">
        <v>436</v>
      </c>
      <c r="C45" s="16" t="s">
        <v>437</v>
      </c>
      <c r="D45" s="16">
        <v>3.0</v>
      </c>
      <c r="E45" s="16">
        <v>6.0</v>
      </c>
      <c r="F45" s="16">
        <v>10.0</v>
      </c>
    </row>
    <row r="46">
      <c r="A46" s="20">
        <f t="shared" si="1"/>
        <v>20040</v>
      </c>
      <c r="B46" s="16" t="s">
        <v>438</v>
      </c>
      <c r="C46" s="16" t="s">
        <v>439</v>
      </c>
      <c r="D46" s="16">
        <v>3.0</v>
      </c>
      <c r="E46" s="16">
        <v>6.0</v>
      </c>
      <c r="F46" s="16">
        <v>10.0</v>
      </c>
    </row>
    <row r="47">
      <c r="A47" s="20">
        <f t="shared" si="1"/>
        <v>20041</v>
      </c>
      <c r="B47" s="16" t="s">
        <v>440</v>
      </c>
      <c r="C47" s="16" t="s">
        <v>350</v>
      </c>
      <c r="D47" s="16">
        <v>3.0</v>
      </c>
      <c r="E47" s="16">
        <v>6.0</v>
      </c>
      <c r="F47" s="16">
        <v>10.0</v>
      </c>
    </row>
    <row r="48">
      <c r="A48" s="20">
        <f t="shared" si="1"/>
        <v>20042</v>
      </c>
      <c r="B48" s="16" t="s">
        <v>441</v>
      </c>
      <c r="C48" s="16" t="s">
        <v>442</v>
      </c>
      <c r="D48" s="16">
        <v>3.0</v>
      </c>
      <c r="E48" s="16">
        <v>6.0</v>
      </c>
      <c r="F48" s="16">
        <v>10.0</v>
      </c>
    </row>
    <row r="49">
      <c r="A49" s="20">
        <f t="shared" si="1"/>
        <v>20043</v>
      </c>
      <c r="B49" s="16" t="s">
        <v>443</v>
      </c>
      <c r="C49" s="16" t="s">
        <v>437</v>
      </c>
      <c r="D49" s="16">
        <v>5.0</v>
      </c>
      <c r="E49" s="16">
        <v>10.0</v>
      </c>
      <c r="F49" s="16">
        <v>15.0</v>
      </c>
    </row>
    <row r="50">
      <c r="A50" s="20">
        <f t="shared" si="1"/>
        <v>20044</v>
      </c>
      <c r="B50" s="16" t="s">
        <v>444</v>
      </c>
      <c r="C50" s="16" t="s">
        <v>439</v>
      </c>
      <c r="D50" s="16">
        <v>5.0</v>
      </c>
      <c r="E50" s="16">
        <v>10.0</v>
      </c>
      <c r="F50" s="16">
        <v>15.0</v>
      </c>
    </row>
    <row r="51">
      <c r="A51" s="20">
        <f t="shared" si="1"/>
        <v>20045</v>
      </c>
      <c r="B51" s="16" t="s">
        <v>445</v>
      </c>
      <c r="C51" s="16" t="s">
        <v>350</v>
      </c>
      <c r="D51" s="16">
        <v>5.0</v>
      </c>
      <c r="E51" s="16">
        <v>10.0</v>
      </c>
      <c r="F51" s="16">
        <v>15.0</v>
      </c>
    </row>
    <row r="52">
      <c r="A52" s="20">
        <f t="shared" si="1"/>
        <v>20046</v>
      </c>
      <c r="B52" s="16" t="s">
        <v>446</v>
      </c>
      <c r="C52" s="16" t="s">
        <v>442</v>
      </c>
      <c r="D52" s="16">
        <v>5.0</v>
      </c>
      <c r="E52" s="16">
        <v>10.0</v>
      </c>
      <c r="F52" s="16">
        <v>15.0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